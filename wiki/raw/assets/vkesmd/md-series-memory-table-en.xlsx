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D Serial Servo" sheetId="2" r:id="rId5"/>
    <sheet name="Hexadecimal instruction genera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eafbccca-e6bc-4f71-8aeb-e4b68c600665}">
      <text>
        <r>
          <rPr>
            <b val="true"/>
            <i val="false"/>
            <strike val="false"/>
            <sz val="9"/>
            <color rgb="FF000000"/>
          </rPr>
          <t xml:space="preserve"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<sst xmlns="http://schemas.openxmlformats.org/spreadsheetml/2006/main" count="252" uniqueCount="252">
  <si>
    <t xml:space="preserve">  </t>
  </si>
  <si>
    <t xml:space="preserve">SMServo2.40-STM32-485(190225).bin(固件版本：2.43)</t>
  </si>
  <si>
    <t xml:space="preserve">2019-02-25 核对更新</t>
  </si>
  <si>
    <t xml:space="preserve">Definition of Memory Table for MD Series Servos</t>
  </si>
  <si>
    <t xml:space="preserve">No-load speed (RPM) </t>
  </si>
  <si>
    <t xml:space="preserve">Test Voltage (V)</t>
  </si>
  <si>
    <t xml:space="preserve">12V</t>
  </si>
  <si>
    <t xml:space="preserve">No-load speed (steps/second) </t>
  </si>
  <si>
    <t xml:space="preserve">No-load current (mA) </t>
  </si>
  <si>
    <t xml:space="preserve">Maximum effective angle (degrees)</t>
  </si>
  <si>
    <t xml:space="preserve">Supports multi-turn and large-angle control, and does not save the number of turns when power is off</t>
  </si>
  <si>
    <t xml:space="preserve">Resolution (step size)</t>
  </si>
  <si>
    <t xml:space="preserve">Minimum resolution angle (degrees/step)</t>
  </si>
  <si>
    <t xml:space="preserve">Electronic Dead Zone (degrees)</t>
  </si>
  <si>
    <t xml:space="preserve">Acceleration (degrees / s²)</t>
  </si>
  <si>
    <t xml:space="preserve">Memory Address</t>
  </si>
  <si>
    <t xml:space="preserve">Function</t>
  </si>
  <si>
    <t xml:space="preserve">ByteDance</t>
  </si>
  <si>
    <t xml:space="preserve">Initial Value</t>
  </si>
  <si>
    <t xml:space="preserve">Storage Area</t>
  </si>
  <si>
    <t xml:space="preserve">Permissions</t>
  </si>
  <si>
    <t xml:space="preserve">Minimum Value</t>
  </si>
  <si>
    <t xml:space="preserve">Maximum Value</t>
  </si>
  <si>
    <t xml:space="preserve">Unit</t>
  </si>
  <si>
    <t xml:space="preserve">Numerical Analysis </t>
  </si>
  <si>
    <t xml:space="preserve">DEC</t>
  </si>
  <si>
    <t xml:space="preserve">Hexadecimal</t>
  </si>
  <si>
    <t xml:space="preserve">Lower in the front and higher in the back</t>
  </si>
  <si>
    <t xml:space="preserve">Little-endian byte order is used: If the function address uses two-byte data, the low byte is located at the previous address, and the high byte is located at the next address</t>
  </si>
  <si>
    <t xml:space="preserve">0</t>
  </si>
  <si>
    <t xml:space="preserve">Main firmware version number</t>
  </si>
  <si>
    <t xml:space="preserve">EPROM</t>
  </si>
  <si>
    <t xml:space="preserve">Read</t>
  </si>
  <si>
    <t xml:space="preserve">--</t>
  </si>
  <si>
    <t xml:space="preserve">1</t>
  </si>
  <si>
    <t xml:space="preserve">Firmware Subversion Number </t>
  </si>
  <si>
    <t xml:space="preserve">3</t>
  </si>
  <si>
    <t xml:space="preserve">Servo Main Version Number </t>
  </si>
  <si>
    <t xml:space="preserve">4</t>
  </si>
  <si>
    <t xml:space="preserve">Servo Subversion Number </t>
  </si>
  <si>
    <t xml:space="preserve">0x5</t>
  </si>
  <si>
    <t xml:space="preserve">ID</t>
  </si>
  <si>
    <t xml:space="preserve">Read and Write</t>
  </si>
  <si>
    <t xml:space="preserve">None</t>
  </si>
  <si>
    <t xml:space="preserve">Unique identifier on the bus. Duplicate ID numbers are not allowed on the same bus. 254 (0xfe) is the broadcast ID, and broadcasts do not return response packets.</t>
  </si>
  <si>
    <t xml:space="preserve">0x6</t>
  </si>
  <si>
    <t xml:space="preserve">Baud Rate </t>
  </si>
  <si>
    <t xml:space="preserve">0-11 respectively represent the following baud rates:
1000000(0), 500000(1), 250000(2), 128000(3), 115200(4), 76800(5), 57600(6), 38400(7),1500000(8),2000000(9),3000000(10),4000000(11)</t>
  </si>
  <si>
    <t xml:space="preserve">0x7</t>
  </si>
  <si>
    <t xml:space="preserve">Sub ID</t>
  </si>
  <si>
    <t xml:space="preserve">Secondary ID (Second Identifier), the secondary ID is only applicable to write instructions </t>
  </si>
  <si>
    <t xml:space="preserve">0x8</t>
  </si>
  <si>
    <t xml:space="preserve">Response Status Level</t>
  </si>
  <si>
    <t xml:space="preserve">0: Except for read commands and Ping commands, other commands do not return response packets; 1: All commands return response packets</t>
  </si>
  <si>
    <t xml:space="preserve">0x9</t>
  </si>
  <si>
    <t xml:space="preserve">Minimum Angle Limit</t>
  </si>
  <si>
    <t xml:space="preserve">Step (0.087 degrees)</t>
  </si>
  <si>
    <t xml:space="preserve">Set the minimum limit for the itinerary, which takes effect only after re-enabling; 
This value is 0 when performing multi-turn absolute position control 
Changing Phase (18) to single-turn angle feedback will limit it to 0-4095</t>
  </si>
  <si>
    <t xml:space="preserve">0xB</t>
  </si>
  <si>
    <t xml:space="preserve">Maximum Angle Limit</t>
  </si>
  <si>
    <t xml:space="preserve">Set the maximum limit for the stroke, which takes effect only after re-enabling; 
This value is 0 when performing multi-turn absolute position control 
Changing the phase (18) to single-turn angle feedback will limit it to 0-4095</t>
  </si>
  <si>
    <t xml:space="preserve">0xD</t>
  </si>
  <si>
    <t xml:space="preserve">Maximum Temperature Limit</t>
  </si>
  <si>
    <t xml:space="preserve">°C</t>
  </si>
  <si>
    <t xml:space="preserve">Maximum operating temperature limit. If set to 70, the maximum temperature is 70°C, with a setting accuracy of 1°C</t>
  </si>
  <si>
    <t xml:space="preserve">0xE</t>
  </si>
  <si>
    <t xml:space="preserve">Maximum Input Voltage</t>
  </si>
  <si>
    <t xml:space="preserve">0.1V</t>
  </si>
  <si>
    <t xml:space="preserve">If the maximum input voltage is set to 140, the maximum operating voltage is limited to 14.0V, with a setting accuracy of 0.1V </t>
  </si>
  <si>
    <t xml:space="preserve">0xF</t>
  </si>
  <si>
    <t xml:space="preserve">Minimum Input Voltage</t>
  </si>
  <si>
    <t xml:space="preserve">If the minimum input voltage is set to 60, the minimum operating voltage is limited to 6.0V, with a setting accuracy of 0.1V </t>
  </si>
  <si>
    <t xml:space="preserve">0x10</t>
  </si>
  <si>
    <t xml:space="preserve">Locked Rotor Detection Protection Current Percentage</t>
  </si>
  <si>
    <t xml:space="preserve">Set the stall detection protection current percentage of the servo. Set 680 = 68%, stall detection protection current = 0.68 * overcurrent protection current threshold (28),</t>
  </si>
  <si>
    <t xml:space="preserve">0x12</t>
  </si>
  <si>
    <t xml:space="preserve">Phase</t>
  </si>
  <si>
    <t xml:space="preserve">Special function ByteDance, do not modify without special requirements, see Special Byte Position Analysis for details. Currently only 2 bit positions are used.
BIT3 (8): Curve planning parameter. (0) 0 indicates that speed and acceleration are 0, (1) 0 indicates that speed and acceleration are at maximum values;
BIT4 (16): Angle feedback mode. (0) Feedback single-turn angle, (1) Feedback full angle.
BIT7 (128): Position feedback direction. (0) Forward, (1) Reverse.</t>
  </si>
  <si>
    <t xml:space="preserve">0x13</t>
  </si>
  <si>
    <t xml:space="preserve">Unloading Conditions</t>
  </si>
  <si>
    <t xml:space="preserve">Unloading condition. 0 indicates off, 1 indicates on. Currently only 4 bits are used.
BIT0 (1): Voltage Protection
BIT1(2): Magnetic Encoding Protection
BIT2 (4): Overheat Protection
BIT3 (8): Overload Protection</t>
  </si>
  <si>
    <t xml:space="preserve">0x14</t>
  </si>
  <si>
    <t xml:space="preserve">LED Alarm Status</t>
  </si>
  <si>
    <t xml:space="preserve">Alarm condition: 0 indicates off, 1 indicates on. Currently, only 4 bits are used.
BIT0 (1): Voltage Alarm
BIT1(2): Magnetic Encoding Alarm
BIT2(4): Overheat Alarm
BIT3 (8): Overload Alarm</t>
  </si>
  <si>
    <t xml:space="preserve">0x15</t>
  </si>
  <si>
    <t xml:space="preserve">Position Loop P Proportional Coefficient </t>
  </si>
  <si>
    <t xml:space="preserve">Proportional coefficient in position control mode</t>
  </si>
  <si>
    <t xml:space="preserve">0x16</t>
  </si>
  <si>
    <t xml:space="preserve">Position Loop D Differential Coefficient</t>
  </si>
  <si>
    <t xml:space="preserve">Differential coefficient in position control mode </t>
  </si>
  <si>
    <t xml:space="preserve">0x17</t>
  </si>
  <si>
    <t xml:space="preserve">Position Loop I Integral Coefficient  </t>
  </si>
  <si>
    <t xml:space="preserve">Integral coefficient in position control mode</t>
  </si>
  <si>
    <t xml:space="preserve">0x18</t>
  </si>
  <si>
    <t xml:space="preserve">Minimum starting force</t>
  </si>
  <si>
    <t xml:space="preserve">6.5mA</t>
  </si>
  <si>
    <t xml:space="preserve">Minimum starting force in assist mode</t>
  </si>
  <si>
    <t xml:space="preserve">0x1A</t>
  </si>
  <si>
    <t xml:space="preserve">Clockwise Insensitive Area </t>
  </si>
  <si>
    <t xml:space="preserve">The smallest unit is the smallest angular resolution </t>
  </si>
  <si>
    <t xml:space="preserve">0x1B</t>
  </si>
  <si>
    <t xml:space="preserve">Counterclockwise Insensitive Area</t>
  </si>
  <si>
    <t xml:space="preserve">0x1C</t>
  </si>
  <si>
    <t xml:space="preserve">Overcurrent protection threshold</t>
  </si>
  <si>
    <t xml:space="preserve">The maximum settable current is 500 * 6.5mA = 3250mA </t>
  </si>
  <si>
    <t xml:space="preserve">0x1F</t>
  </si>
  <si>
    <t xml:space="preserve">Position Offset</t>
  </si>
  <si>
    <t xml:space="preserve">The 11th bit is the direction bit, indicating positive and negative directions. The other bits can represent a range of 0-2047 steps </t>
  </si>
  <si>
    <t xml:space="preserve">0x21</t>
  </si>
  <si>
    <t xml:space="preserve">Operating Mode</t>
  </si>
  <si>
    <t xml:space="preserve">0: Position Servo Mode
1: Motor constant speed mode, controlled by parameter 0x2E running speed parameter, with the highest bit BIT15 as the direction bit
2: Motor constant current mode, controlled by parameter 0x2C target torque parameter, with the most significant bit BIT15 as the direction bit
3: Motor assist mode, controlled by parameter 0x18 minimum starting force and parameter 0x24 friction parameter
5: Position servo mode with current loop
Note: The MDL60 series servo currently only supports position servo mode with current loop; please set to mode 0.</t>
  </si>
  <si>
    <t xml:space="preserve">0x22</t>
  </si>
  <si>
    <t xml:space="preserve">Current Loop P Proportional Coefficient </t>
  </si>
  <si>
    <t xml:space="preserve">Proportional coefficient of the motor current loop </t>
  </si>
  <si>
    <t xml:space="preserve">0x23</t>
  </si>
  <si>
    <t xml:space="preserve">Current Loop I Integral Coefficient  </t>
  </si>
  <si>
    <t xml:space="preserve">Control the integral coefficient of the motor current loop</t>
  </si>
  <si>
    <t xml:space="preserve">0x24</t>
  </si>
  <si>
    <t xml:space="preserve">Friction Compensation </t>
  </si>
  <si>
    <t xml:space="preserve">Friction compensation current in assist mode</t>
  </si>
  <si>
    <t xml:space="preserve">0x25</t>
  </si>
  <si>
    <t xml:space="preserve">Speed Closed-loop P Proportional Coefficient</t>
  </si>
  <si>
    <t xml:space="preserve">Under the motor constant speed mode (Mode 1), the proportional coefficient of the speed loop</t>
  </si>
  <si>
    <t xml:space="preserve">0x26</t>
  </si>
  <si>
    <t xml:space="preserve">Overcurrent protection time</t>
  </si>
  <si>
    <t xml:space="preserve">10 milliseconds</t>
  </si>
  <si>
    <t xml:space="preserve">Maximum is set to 254 * 10ms = 2540ms</t>
  </si>
  <si>
    <t xml:space="preserve">0x27</t>
  </si>
  <si>
    <t xml:space="preserve">Speed Closed-loop I Integral Coefficient</t>
  </si>
  <si>
    <t xml:space="preserve">Under the motor constant speed mode (Mode 1), the speed loop integral coefficient</t>
  </si>
  <si>
    <t xml:space="preserve">0x28</t>
  </si>
  <si>
    <t xml:space="preserve">Torque Switch</t>
  </si>
  <si>
    <t xml:space="preserve">SRAM</t>
  </si>
  <si>
    <t xml:space="preserve">Write 0: Turn off torque output; Write 1: Turn on torque output. </t>
  </si>
  <si>
    <t xml:space="preserve">0x29</t>
  </si>
  <si>
    <t xml:space="preserve">Acceleration</t>
  </si>
  <si>
    <t xml:space="preserve">100 steps/second²</t>
  </si>
  <si>
    <t xml:space="preserve">Acceleration/Deceleration of the servo operation. If set to 10, the speed will change by 1000 steps per second</t>
  </si>
  <si>
    <t xml:space="preserve">0x2A</t>
  </si>
  <si>
    <t xml:space="preserve">Target Location</t>
  </si>
  <si>
    <t xml:space="preserve">Target position. In position control mode, the maximum value corresponds to the maximum effective angle, and BIT15 is the direction bit</t>
  </si>
  <si>
    <t xml:space="preserve">0x2C</t>
  </si>
  <si>
    <t xml:space="preserve">Target Torque</t>
  </si>
  <si>
    <t xml:space="preserve">-</t>
  </si>
  <si>
    <t xml:space="preserve">After torque enabling, it is assigned by the protection current (28), and this value can be modified to control the output of the motor's maximum operating torque; BIT15 is the current direction bit </t>
  </si>
  <si>
    <t xml:space="preserve">0x2E</t>
  </si>
  <si>
    <t xml:space="preserve">Running speed</t>
  </si>
  <si>
    <t xml:space="preserve">Controls the maximum operating speed of the motor. Steps per unit time (per second), 50 steps/second = 0.732 RPM (revolutions per minute) </t>
  </si>
  <si>
    <t xml:space="preserve">0x30</t>
  </si>
  <si>
    <t xml:space="preserve">Locked Rotor Current Limitation</t>
  </si>
  <si>
    <t xml:space="preserve">Torque limit. The user controls the output of the maximum torque during stall by modifying this value.</t>
  </si>
  <si>
    <t xml:space="preserve">0x32</t>
  </si>
  <si>
    <t xml:space="preserve">Real-time position loop P proportional coefficient </t>
  </si>
  <si>
    <t xml:space="preserve">Real-time control of the proportional coefficient of the motor position loop, which is assigned by the position loop P proportional coefficient (21) after torque enabling </t>
  </si>
  <si>
    <t xml:space="preserve">0x33</t>
  </si>
  <si>
    <t xml:space="preserve">Real-time position loop D differential coefficient </t>
  </si>
  <si>
    <t xml:space="preserve">Real-time control of the differential coefficient of the motor position loop, which is assigned by the position loop D differential coefficient (22) after torque enabling </t>
  </si>
  <si>
    <t xml:space="preserve">0x34</t>
  </si>
  <si>
    <t xml:space="preserve">Real-time position loop I integral coefficient</t>
  </si>
  <si>
    <t xml:space="preserve">Real-time control of the integral coefficient of the motor position loop, which is assigned by the position loop I integral coefficient (23) after torque enable </t>
  </si>
  <si>
    <t xml:space="preserve">0x37</t>
  </si>
  <si>
    <t xml:space="preserve">Lock Flag</t>
  </si>
  <si>
    <t xml:space="preserve">Write 0 to close the write lock, and the value written to the EPROM address is retained after power-off 
 Write 1 to open the write lock, and the value written to the EPROM address is not retained after power-off </t>
  </si>
  <si>
    <t xml:space="preserve">0x38</t>
  </si>
  <si>
    <t xml:space="preserve">Present Location</t>
  </si>
  <si>
    <t xml:space="preserve">Read-only</t>
  </si>
  <si>
    <t xml:space="preserve">In absolute position control mode, the maximum value corresponds to the maximum effective angle </t>
  </si>
  <si>
    <t xml:space="preserve">0x3A</t>
  </si>
  <si>
    <t xml:space="preserve">Present  Speed</t>
  </si>
  <si>
    <t xml:space="preserve">Feedback the current rotational speed of the motor, i.e., the number of steps per unit time (per second)</t>
  </si>
  <si>
    <t xml:space="preserve">0x3C</t>
  </si>
  <si>
    <t xml:space="preserve">Present  Load</t>
  </si>
  <si>
    <t xml:space="preserve">Current control output drives the voltage duty cycle of the motor </t>
  </si>
  <si>
    <t xml:space="preserve">0x3E</t>
  </si>
  <si>
    <t xml:space="preserve">Present  Voltage</t>
  </si>
  <si>
    <t xml:space="preserve">Current servo operating voltage</t>
  </si>
  <si>
    <t xml:space="preserve">0x3F</t>
  </si>
  <si>
    <t xml:space="preserve">Present  Temperature</t>
  </si>
  <si>
    <t xml:space="preserve">Current internal operating temperature of the server </t>
  </si>
  <si>
    <t xml:space="preserve">0x40</t>
  </si>
  <si>
    <t xml:space="preserve">Asynchronous Write Flag </t>
  </si>
  <si>
    <t xml:space="preserve">When using asynchronous write instructions, the flag bit </t>
  </si>
  <si>
    <t xml:space="preserve">0x42</t>
  </si>
  <si>
    <t xml:space="preserve">Move Sign</t>
  </si>
  <si>
    <t xml:space="preserve">When the servo is moving, it is marked as 1; when the servo is stopped, it is marked as 0 </t>
  </si>
  <si>
    <t xml:space="preserve">0x43</t>
  </si>
  <si>
    <t xml:space="preserve">Present  Goal position</t>
  </si>
  <si>
    <t xml:space="preserve">Current target position of curve planning</t>
  </si>
  <si>
    <t xml:space="preserve">Turn off the lock protection</t>
  </si>
  <si>
    <t xml:space="preserve">Input range</t>
  </si>
  <si>
    <t xml:space="preserve">Input control parameters</t>
  </si>
  <si>
    <t xml:space="preserve">Decimal input</t>
  </si>
  <si>
    <t xml:space="preserve">MD Serial Servo</t>
  </si>
  <si>
    <t xml:space="preserve">ID number</t>
  </si>
  <si>
    <t xml:space="preserve">0-254</t>
  </si>
  <si>
    <t xml:space="preserve">Write instruction</t>
  </si>
  <si>
    <t xml:space="preserve">First address</t>
  </si>
  <si>
    <t xml:space="preserve">change ID number</t>
  </si>
  <si>
    <t xml:space="preserve">0 close</t>
  </si>
  <si>
    <t xml:space="preserve">1 Open lock sign</t>
  </si>
  <si>
    <t xml:space="preserve">Turn off lock protection command</t>
  </si>
  <si>
    <t xml:space="preserve">HEX</t>
  </si>
  <si>
    <t xml:space="preserve">Header</t>
  </si>
  <si>
    <t xml:space="preserve">instruction Packet length </t>
  </si>
  <si>
    <t xml:space="preserve">instruction</t>
  </si>
  <si>
    <t xml:space="preserve">write first address</t>
  </si>
  <si>
    <t xml:space="preserve">ID data</t>
  </si>
  <si>
    <t xml:space="preserve">Check code</t>
  </si>
  <si>
    <t xml:space="preserve">hexadecimal</t>
  </si>
  <si>
    <t xml:space="preserve">decimal system</t>
  </si>
  <si>
    <t xml:space="preserve">Generating hexadecimal instructions</t>
  </si>
  <si>
    <t xml:space="preserve">input range</t>
  </si>
  <si>
    <t xml:space="preserve">Modify ID number instruction</t>
  </si>
  <si>
    <t xml:space="preserve">Modify protection conditions</t>
  </si>
  <si>
    <t xml:space="preserve">Modify protection value</t>
  </si>
  <si>
    <t xml:space="preserve">protection value</t>
  </si>
  <si>
    <t xml:space="preserve">Switching force enable</t>
  </si>
  <si>
    <t xml:space="preserve">open</t>
  </si>
  <si>
    <t xml:space="preserve">close</t>
  </si>
  <si>
    <t xml:space="preserve">Switching force enable instruction</t>
  </si>
  <si>
    <t xml:space="preserve">Read data length</t>
  </si>
  <si>
    <t xml:space="preserve">position</t>
  </si>
  <si>
    <t xml:space="preserve">0-4095</t>
  </si>
  <si>
    <t xml:space="preserve">time</t>
  </si>
  <si>
    <t xml:space="preserve">--</t>
  </si>
  <si>
    <t xml:space="preserve">speed</t>
  </si>
  <si>
    <t xml:space="preserve">0-150</t>
  </si>
  <si>
    <t xml:space="preserve">MD series</t>
  </si>
  <si>
    <t xml:space="preserve">Position low byte</t>
  </si>
  <si>
    <t xml:space="preserve">Location high byte</t>
  </si>
  <si>
    <t xml:space="preserve">Time low byte</t>
  </si>
  <si>
    <t xml:space="preserve">Time high byte</t>
  </si>
  <si>
    <t xml:space="preserve">Speed low byte</t>
  </si>
  <si>
    <t xml:space="preserve">Speed high byte</t>
  </si>
  <si>
    <t xml:space="preserve">(Unit)</t>
  </si>
  <si>
    <t xml:space="preserve">Multi loop control</t>
  </si>
  <si>
    <t xml:space="preserve">0-253</t>
  </si>
  <si>
    <t xml:space="preserve">Acceleration</t>
  </si>
  <si>
    <t xml:space="preserve">0-255</t>
  </si>
  <si>
    <t xml:space="preserve">8.878 °/s2 </t>
  </si>
  <si>
    <t xml:space="preserve">Position</t>
  </si>
  <si>
    <t xml:space="preserve">-30719~+30719  （正负7.5圈）</t>
  </si>
  <si>
    <t xml:space="preserve">empty set0</t>
  </si>
  <si>
    <t xml:space="preserve">0-1023</t>
  </si>
  <si>
    <t xml:space="preserve">0.732RPM</t>
  </si>
  <si>
    <t xml:space="preserve">no function</t>
  </si>
  <si>
    <t xml:space="preserve">Acceleration byte</t>
  </si>
  <si>
    <t xml:space="preserve">Read position instruction</t>
  </si>
  <si>
    <t xml:space="preserve">read instruction</t>
  </si>
  <si>
    <t xml:space="preserve">Number of bytes</t>
  </si>
  <si>
    <t xml:space="preserve">Number of turns clear command</t>
  </si>
  <si>
    <t xml:space="preserve">Number of turns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</si>
</sst>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_ "/>
    <numFmt numFmtId="165" formatCode="0\x"/>
    <numFmt numFmtId="166" formatCode="0.00%"/>
    <numFmt numFmtId="167" formatCode="0.0%"/>
  </numFmts>
  <fonts count="8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B050"/>
        <bgColor/>
      </patternFill>
    </fill>
    <fill>
      <patternFill patternType="solid">
        <fgColor rgb="FFBDD6EE"/>
        <bgColor/>
      </patternFill>
    </fill>
    <fill>
      <patternFill patternType="solid">
        <fgColor rgb="FF92D050"/>
        <bgColor/>
      </patternFill>
    </fill>
    <fill>
      <patternFill patternType="solid">
        <fgColor rgb="FFFFF258"/>
        <bgColor/>
      </patternFill>
    </fill>
    <fill>
      <patternFill patternType="solid">
        <fgColor rgb="FF92D050"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horizontal="right" vertical="center" wrapText="true"/>
    </xf>
    <xf applyAlignment="true" applyBorder="false" applyFill="false" applyFont="true" applyNumberFormat="false" applyProtection="false" borderId="0" fillId="0" fontId="5" numFmtId="0" xfId="0">
      <alignment horizontal="right"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true" applyFont="true" applyNumberFormat="false" applyProtection="false" borderId="0" fillId="2" fontId="5" numFmtId="0" xfId="0">
      <alignment horizontal="right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true" applyFont="true" applyNumberFormat="false" applyProtection="false" borderId="1" fillId="3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1" numFmtId="165" xfId="0">
      <alignment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true" applyProtection="false" borderId="1" fillId="0" fontId="3" numFmtId="165" xfId="0">
      <alignment horizontal="center" vertical="center" wrapText="true"/>
    </xf>
    <xf applyAlignment="true" applyBorder="false" applyFill="true" applyFont="true" applyNumberFormat="false" applyProtection="false" borderId="1" fillId="4" fontId="3" numFmtId="0" xfId="0">
      <alignment horizontal="center" vertical="center" wrapText="true"/>
    </xf>
    <xf applyAlignment="true" applyBorder="false" applyFill="false" applyFont="true" applyNumberFormat="true" applyProtection="false" borderId="2" fillId="0" fontId="3" numFmtId="165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true" applyFont="true" applyNumberFormat="false" applyProtection="false" borderId="2" fillId="4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false" applyFont="true" applyNumberFormat="true" applyProtection="false" borderId="2" fillId="0" fontId="3" numFmtId="166" xfId="0">
      <alignment horizontal="center" vertical="center" wrapText="true"/>
    </xf>
    <xf applyAlignment="true" applyBorder="false" applyFill="false" applyFont="true" applyNumberFormat="true" applyProtection="false" borderId="1" fillId="0" fontId="5" numFmtId="167" xfId="0">
      <alignment horizontal="center" vertical="center" wrapText="true"/>
    </xf>
    <xf applyAlignment="true" applyBorder="false" applyFill="false" applyFont="true" applyNumberFormat="true" applyProtection="false" borderId="1" fillId="0" fontId="3" numFmtId="167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true" applyProtection="false" borderId="1" fillId="0" fontId="3" numFmtId="167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true" applyProtection="false" borderId="2" fillId="0" fontId="3" numFmtId="167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true" applyFont="true" applyNumberFormat="false" applyProtection="false" borderId="3" fillId="4" fontId="3" numFmtId="0" xfId="0">
      <alignment horizontal="center" vertical="center" wrapText="true"/>
    </xf>
    <xf applyAlignment="true" applyBorder="false" applyFill="false" applyFont="true" applyNumberFormat="true" applyProtection="false" borderId="3" fillId="0" fontId="3" numFmtId="167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true" applyFont="true" applyNumberFormat="false" applyProtection="false" borderId="1" fillId="5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true" applyProtection="false" borderId="0" fillId="0" fontId="5" numFmtId="166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true" applyProtection="false" borderId="3" fillId="0" fontId="3" numFmtId="165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5" numFmtId="0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true" applyProtection="false" borderId="2" fillId="0" fontId="3" numFmtId="165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8" fillId="0" fontId="1" numFmtId="0" xfId="0">
      <alignment horizontal="center" vertical="bottom"/>
    </xf>
    <xf applyAlignment="true" applyBorder="false" applyFill="false" applyFont="true" applyNumberFormat="false" applyProtection="false" borderId="0" fillId="0" fontId="1" numFmtId="0" xfId="0">
      <alignment horizontal="center" vertical="bottom"/>
    </xf>
    <xf applyAlignment="true" applyBorder="false" applyFill="false" applyFont="true" applyNumberFormat="false" applyProtection="false" borderId="9" fillId="0" fontId="1" numFmtId="0" xfId="0">
      <alignment horizontal="center" vertical="bottom"/>
    </xf>
    <xf applyAlignment="true" applyBorder="false" applyFill="false" applyFont="true" applyNumberFormat="false" applyProtection="false" borderId="9" fillId="0" fontId="1" numFmtId="0" xfId="0">
      <alignment horizontal="right" vertical="bottom"/>
    </xf>
    <xf applyAlignment="true" applyBorder="false" applyFill="true" applyFont="true" applyNumberFormat="false" applyProtection="false" borderId="9" fillId="6" fontId="1" numFmtId="0" xfId="0">
      <alignment horizontal="center" vertical="bottom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bottom"/>
    </xf>
    <xf applyAlignment="true" applyBorder="false" applyFill="false" applyFont="true" applyNumberFormat="false" applyProtection="false" borderId="11" fillId="0" fontId="1" numFmtId="0" xfId="0">
      <alignment horizontal="center" vertical="bottom"/>
    </xf>
    <xf applyAlignment="true" applyBorder="false" applyFill="false" applyFont="true" applyNumberFormat="false" applyProtection="false" borderId="9" fillId="0" fontId="1" numFmtId="0" xfId="0">
      <alignment horizontal="center" vertical="bottom" wrapText="true"/>
    </xf>
    <xf applyAlignment="true" applyBorder="false" applyFill="false" applyFont="true" applyNumberFormat="false" applyProtection="false" borderId="9" fillId="0" fontId="1" numFmtId="0" xfId="0">
      <alignment vertical="bottom"/>
    </xf>
    <xf applyAlignment="true" applyBorder="false" applyFill="false" applyFont="true" applyNumberFormat="false" applyProtection="false" borderId="9" fillId="0" fontId="1" numFmtId="0" xfId="0">
      <alignment vertical="bottom" wrapText="true"/>
    </xf>
    <xf applyAlignment="true" applyBorder="false" applyFill="false" applyFont="true" applyNumberFormat="false" applyProtection="false" borderId="9" fillId="0" fontId="1" numFmtId="0" xfId="0">
      <alignment vertical="bottom"/>
    </xf>
    <xf applyAlignment="true" applyBorder="false" applyFill="false" applyFont="true" applyNumberFormat="false" applyProtection="false" borderId="12" fillId="0" fontId="1" numFmtId="0" xfId="0">
      <alignment horizontal="center" vertical="bottom"/>
    </xf>
    <xf applyAlignment="true" applyBorder="false" applyFill="false" applyFont="true" applyNumberFormat="false" applyProtection="false" borderId="13" fillId="0" fontId="1" numFmtId="0" xfId="0">
      <alignment horizontal="center" vertical="bottom"/>
    </xf>
    <xf applyAlignment="true" applyBorder="false" applyFill="false" applyFont="true" applyNumberFormat="false" applyProtection="false" borderId="14" fillId="0" fontId="1" numFmtId="0" xfId="0">
      <alignment horizontal="center" vertical="bottom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left" vertical="bottom"/>
    </xf>
    <xf applyAlignment="true" applyBorder="false" applyFill="false" applyFont="true" applyNumberFormat="false" applyProtection="false" borderId="0" fillId="0" fontId="1" numFmtId="0" xfId="0">
      <alignment horizontal="left" vertical="bottom"/>
    </xf>
    <xf applyAlignment="true" applyBorder="false" applyFill="false" applyFont="true" applyNumberFormat="false" applyProtection="false" borderId="9" fillId="0" fontId="1" numFmtId="0" xfId="0">
      <alignment horizontal="center" vertical="bottom"/>
    </xf>
    <xf applyAlignment="true" applyBorder="false" applyFill="false" applyFont="true" applyNumberFormat="false" applyProtection="false" borderId="10" fillId="0" fontId="1" numFmtId="0" xfId="0">
      <alignment vertical="bottom"/>
    </xf>
    <xf applyAlignment="true" applyBorder="false" applyFill="false" applyFont="true" applyNumberFormat="false" applyProtection="false" borderId="15" fillId="0" fontId="1" numFmtId="0" xfId="0">
      <alignment vertical="bottom"/>
    </xf>
    <xf applyAlignment="true" applyBorder="false" applyFill="false" applyFont="true" applyNumberFormat="false" applyProtection="false" borderId="11" fillId="0" fontId="1" numFmtId="0" xfId="0">
      <alignment vertical="bottom"/>
    </xf>
    <xf applyAlignment="true" applyBorder="false" applyFill="false" applyFont="true" applyNumberFormat="false" applyProtection="false" borderId="9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cols>
    <col collapsed="false" customWidth="true" hidden="false" max="7" min="7" style="0" width="9.4"/>
    <col collapsed="false" customWidth="true" hidden="false" max="9" min="9" style="0" width="13.266666666666667"/>
    <col collapsed="false" customWidth="true" hidden="false" max="11" min="11" style="0" width="11.133333333333333"/>
    <col collapsed="false" customWidth="true" hidden="false" max="1" min="1" style="0" width="3.4"/>
    <col collapsed="false" customWidth="true" hidden="false" max="3" min="3" style="0" width="8.066666666666666"/>
    <col collapsed="false" customWidth="true" hidden="false" max="5" min="5" style="0" width="23.4"/>
    <col collapsed="false" customWidth="true" hidden="false" max="8" min="8" style="0" width="10.866666666666667"/>
    <col collapsed="false" customWidth="true" hidden="false" max="10" min="10" style="0" width="8.733333333333333"/>
    <col collapsed="false" customWidth="true" hidden="false" max="12" min="12" style="0" width="72.46666666666667"/>
    <col collapsed="false" customWidth="true" hidden="false" max="2" min="2" style="0" width="3.6666666666666665"/>
    <col collapsed="false" customWidth="true" hidden="false" max="4" min="4" style="0" width="23.8"/>
    <col collapsed="false" customWidth="true" hidden="false" max="6" min="6" style="0" width="10.333333333333334"/>
  </cols>
  <sheetData>
    <row customHeight="true" hidden="true" ht="15.555555555555555" r="1">
      <c r="B1" s="1"/>
      <c r="C1" s="2" t="s">
        <v>1</v>
      </c>
      <c r="D1" s="2"/>
      <c r="E1" s="2"/>
      <c r="F1" s="3"/>
      <c r="G1" s="2"/>
      <c r="H1" s="2"/>
      <c r="I1" s="2"/>
      <c r="J1" s="2"/>
      <c r="K1" s="1"/>
      <c r="L1" s="4" t="s">
        <v>2</v>
      </c>
    </row>
    <row customHeight="true" ht="20" r="2">
      <c r="B2" s="5" t="s">
        <v>3</v>
      </c>
      <c r="C2" s="5"/>
      <c r="D2" s="5"/>
      <c r="E2" s="5"/>
      <c r="F2" s="3"/>
      <c r="G2" s="5"/>
      <c r="H2" s="5"/>
      <c r="I2" s="5"/>
      <c r="J2" s="5"/>
      <c r="K2" s="5"/>
      <c r="L2" s="5"/>
    </row>
    <row customHeight="true" ht="15.555555555555555" r="3">
      <c r="B3" s="6"/>
      <c r="C3" s="7" t="s">
        <v>4</v>
      </c>
      <c r="D3" s="7"/>
      <c r="E3" s="7"/>
      <c r="F3" s="3"/>
      <c r="G3" s="8" t="s">
        <v>5</v>
      </c>
      <c r="H3" s="8"/>
      <c r="I3" s="8"/>
      <c r="J3" s="6" t="s">
        <v>6</v>
      </c>
      <c r="K3" s="6"/>
      <c r="L3" s="9"/>
    </row>
    <row customHeight="true" ht="15.555555555555555" r="4">
      <c r="B4" s="6"/>
      <c r="C4" s="8" t="s">
        <v>7</v>
      </c>
      <c r="D4" s="8"/>
      <c r="E4" s="10"/>
      <c r="F4" s="3"/>
      <c r="G4" s="8" t="s">
        <v>8</v>
      </c>
      <c r="H4" s="8"/>
      <c r="I4" s="8"/>
      <c r="J4" s="6"/>
      <c r="K4" s="6"/>
      <c r="L4" s="11"/>
    </row>
    <row customHeight="true" ht="15.555555555555555" r="5">
      <c r="B5" s="6"/>
      <c r="C5" s="8" t="s">
        <v>9</v>
      </c>
      <c r="D5" s="8"/>
      <c r="E5" s="8">
        <v>360</v>
      </c>
      <c r="F5" s="3" t="s">
        <v>10</v>
      </c>
      <c r="G5" s="12"/>
      <c r="H5" s="12"/>
      <c r="I5" s="12"/>
      <c r="J5" s="12"/>
      <c r="K5" s="12"/>
      <c r="L5" s="12"/>
    </row>
    <row customHeight="true" ht="15.555555555555555" r="6">
      <c r="B6" s="6"/>
      <c r="C6" s="8" t="s">
        <v>11</v>
      </c>
      <c r="D6" s="8"/>
      <c r="E6" s="8">
        <v>4096</v>
      </c>
      <c r="F6" s="3"/>
      <c r="G6" s="8"/>
      <c r="H6" s="8"/>
      <c r="I6" s="8"/>
      <c r="J6" s="6"/>
      <c r="K6" s="6"/>
      <c r="L6" s="11"/>
    </row>
    <row customHeight="true" ht="28.148148148148145" r="7">
      <c r="B7" s="6"/>
      <c r="C7" s="8" t="s">
        <v>12</v>
      </c>
      <c r="D7" s="8"/>
      <c r="E7" s="8">
        <v>0.087890625</v>
      </c>
      <c r="F7" s="3"/>
      <c r="G7" s="8" t="s">
        <v>13</v>
      </c>
      <c r="H7" s="8"/>
      <c r="I7" s="8"/>
      <c r="J7" s="6">
        <v>0.17578125</v>
      </c>
      <c r="K7" s="6"/>
      <c r="L7" s="11"/>
    </row>
    <row customHeight="true" ht="15.555555555555555" r="8">
      <c r="B8" s="6"/>
      <c r="C8" s="6" t="s">
        <v>14</v>
      </c>
      <c r="D8" s="6"/>
      <c r="E8" s="8">
        <v>8.7890625</v>
      </c>
      <c r="F8" s="3"/>
      <c r="G8" s="8"/>
      <c r="H8" s="8"/>
      <c r="I8" s="8"/>
      <c r="J8" s="6"/>
      <c r="K8" s="6"/>
      <c r="L8" s="11"/>
    </row>
    <row customHeight="true" ht="31.11111111111111" r="9">
      <c r="B9" s="13" t="s">
        <v>15</v>
      </c>
      <c r="C9" s="13"/>
      <c r="D9" s="13" t="s">
        <v>16</v>
      </c>
      <c r="E9" s="13" t="s">
        <v>17</v>
      </c>
      <c r="F9" s="3" t="s">
        <v>18</v>
      </c>
      <c r="G9" s="13" t="s">
        <v>19</v>
      </c>
      <c r="H9" s="13" t="s">
        <v>20</v>
      </c>
      <c r="I9" s="13" t="s">
        <v>21</v>
      </c>
      <c r="J9" s="13" t="s">
        <v>22</v>
      </c>
      <c r="K9" s="13" t="s">
        <v>23</v>
      </c>
      <c r="L9" s="13" t="s">
        <v>24</v>
      </c>
    </row>
    <row customHeight="true" ht="39.25925925925926" r="10">
      <c r="B10" s="14" t="s">
        <v>25</v>
      </c>
      <c r="C10" s="14" t="s">
        <v>26</v>
      </c>
      <c r="D10" s="3"/>
      <c r="E10" s="14" t="s">
        <v>27</v>
      </c>
      <c r="F10" s="14"/>
      <c r="G10" s="14"/>
      <c r="H10" s="14"/>
      <c r="I10" s="14"/>
      <c r="J10" s="14"/>
      <c r="K10" s="14"/>
      <c r="L10" s="3" t="s">
        <v>28</v>
      </c>
    </row>
    <row customHeight="true" ht="37.03703703703704" r="11">
      <c r="A11" s="15"/>
      <c r="B11" s="16">
        <v>0</v>
      </c>
      <c r="C11" s="17" t="s">
        <v>29</v>
      </c>
      <c r="D11" s="3" t="s">
        <v>30</v>
      </c>
      <c r="E11" s="16">
        <v>1</v>
      </c>
      <c r="F11" s="14">
        <v>3</v>
      </c>
      <c r="G11" s="18" t="s">
        <v>31</v>
      </c>
      <c r="H11" s="14" t="s">
        <v>32</v>
      </c>
      <c r="I11" s="3" t="s">
        <v>33</v>
      </c>
      <c r="J11" s="16" t="s">
        <v>33</v>
      </c>
      <c r="K11" s="14"/>
      <c r="L11" s="3"/>
    </row>
    <row customHeight="true" ht="26.666666666666664" r="12">
      <c r="A12" s="15"/>
      <c r="B12" s="16">
        <v>1</v>
      </c>
      <c r="C12" s="17" t="s">
        <v>34</v>
      </c>
      <c r="D12" s="3" t="s">
        <v>35</v>
      </c>
      <c r="E12" s="16">
        <v>1</v>
      </c>
      <c r="F12" s="14" t="s">
        <v>33</v>
      </c>
      <c r="G12" s="18" t="s">
        <v>31</v>
      </c>
      <c r="H12" s="14" t="s">
        <v>32</v>
      </c>
      <c r="I12" s="16" t="s">
        <v>33</v>
      </c>
      <c r="J12" s="16" t="s">
        <v>33</v>
      </c>
      <c r="K12" s="14"/>
      <c r="L12" s="3"/>
    </row>
    <row customHeight="true" ht="26.666666666666664" r="13">
      <c r="A13" s="15"/>
      <c r="B13" s="16">
        <v>3</v>
      </c>
      <c r="C13" s="17" t="s">
        <v>36</v>
      </c>
      <c r="D13" s="3" t="s">
        <v>37</v>
      </c>
      <c r="E13" s="16">
        <v>1</v>
      </c>
      <c r="F13" s="14" t="s">
        <v>33</v>
      </c>
      <c r="G13" s="18" t="s">
        <v>31</v>
      </c>
      <c r="H13" s="14" t="s">
        <v>32</v>
      </c>
      <c r="I13" s="16" t="s">
        <v>33</v>
      </c>
      <c r="J13" s="16" t="s">
        <v>33</v>
      </c>
      <c r="K13" s="14"/>
      <c r="L13" s="3"/>
    </row>
    <row customHeight="true" ht="26.666666666666664" r="14">
      <c r="A14" s="15"/>
      <c r="B14" s="16">
        <v>4</v>
      </c>
      <c r="C14" s="17" t="s">
        <v>38</v>
      </c>
      <c r="D14" s="3" t="s">
        <v>39</v>
      </c>
      <c r="E14" s="16">
        <v>1</v>
      </c>
      <c r="F14" s="14" t="s">
        <v>33</v>
      </c>
      <c r="G14" s="18" t="s">
        <v>31</v>
      </c>
      <c r="H14" s="14" t="s">
        <v>32</v>
      </c>
      <c r="I14" s="16" t="s">
        <v>33</v>
      </c>
      <c r="J14" s="16" t="s">
        <v>33</v>
      </c>
      <c r="K14" s="14"/>
      <c r="L14" s="3"/>
    </row>
    <row customHeight="true" ht="40" r="15">
      <c r="A15" s="15"/>
      <c r="B15" s="16">
        <v>5</v>
      </c>
      <c r="C15" s="17" t="s">
        <v>40</v>
      </c>
      <c r="D15" s="3" t="s">
        <v>41</v>
      </c>
      <c r="E15" s="16">
        <v>1</v>
      </c>
      <c r="F15" s="14">
        <v>1</v>
      </c>
      <c r="G15" s="18" t="s">
        <v>31</v>
      </c>
      <c r="H15" s="14" t="s">
        <v>42</v>
      </c>
      <c r="I15" s="16">
        <v>0</v>
      </c>
      <c r="J15" s="16">
        <v>253</v>
      </c>
      <c r="K15" s="14" t="s">
        <v>43</v>
      </c>
      <c r="L15" s="3" t="s">
        <v>44</v>
      </c>
    </row>
    <row customHeight="true" ht="59.25925925925925" r="16">
      <c r="A16" s="15"/>
      <c r="B16" s="16">
        <v>6</v>
      </c>
      <c r="C16" s="17" t="s">
        <v>45</v>
      </c>
      <c r="D16" s="3" t="s">
        <v>46</v>
      </c>
      <c r="E16" s="3">
        <v>1</v>
      </c>
      <c r="F16" s="14">
        <v>0</v>
      </c>
      <c r="G16" s="18" t="s">
        <v>31</v>
      </c>
      <c r="H16" s="14" t="s">
        <v>42</v>
      </c>
      <c r="I16" s="16">
        <v>0</v>
      </c>
      <c r="J16" s="16">
        <v>7</v>
      </c>
      <c r="K16" s="14" t="s">
        <v>43</v>
      </c>
      <c r="L16" s="3" t="s">
        <v>47</v>
      </c>
    </row>
    <row customHeight="true" ht="26.666666666666664" r="17">
      <c r="A17" s="15"/>
      <c r="B17" s="14">
        <v>7</v>
      </c>
      <c r="C17" s="19" t="s">
        <v>48</v>
      </c>
      <c r="D17" s="3" t="s">
        <v>49</v>
      </c>
      <c r="E17" s="20">
        <v>1</v>
      </c>
      <c r="F17" s="14">
        <v>253</v>
      </c>
      <c r="G17" s="21" t="s">
        <v>31</v>
      </c>
      <c r="H17" s="20" t="s">
        <v>42</v>
      </c>
      <c r="I17" s="20">
        <v>0</v>
      </c>
      <c r="J17" s="20">
        <v>253</v>
      </c>
      <c r="K17" s="20" t="s">
        <v>43</v>
      </c>
      <c r="L17" s="22" t="s">
        <v>50</v>
      </c>
    </row>
    <row customHeight="true" ht="40" r="18">
      <c r="A18" s="15"/>
      <c r="B18" s="16">
        <v>8</v>
      </c>
      <c r="C18" s="17" t="s">
        <v>51</v>
      </c>
      <c r="D18" s="3" t="s">
        <v>52</v>
      </c>
      <c r="E18" s="16">
        <v>1</v>
      </c>
      <c r="F18" s="14">
        <v>1</v>
      </c>
      <c r="G18" s="18" t="s">
        <v>31</v>
      </c>
      <c r="H18" s="14" t="s">
        <v>42</v>
      </c>
      <c r="I18" s="16">
        <v>0</v>
      </c>
      <c r="J18" s="16">
        <v>1</v>
      </c>
      <c r="K18" s="14" t="s">
        <v>43</v>
      </c>
      <c r="L18" s="3" t="s">
        <v>53</v>
      </c>
    </row>
    <row customHeight="true" ht="47.407407407407405" r="19">
      <c r="A19" s="15"/>
      <c r="B19" s="16">
        <v>9</v>
      </c>
      <c r="C19" s="17" t="s">
        <v>54</v>
      </c>
      <c r="D19" s="3" t="s">
        <v>55</v>
      </c>
      <c r="E19" s="16">
        <v>2</v>
      </c>
      <c r="F19" s="14">
        <v>0</v>
      </c>
      <c r="G19" s="18" t="s">
        <v>31</v>
      </c>
      <c r="H19" s="14" t="s">
        <v>42</v>
      </c>
      <c r="I19" s="16">
        <v>-32766</v>
      </c>
      <c r="J19" s="16">
        <v>32765</v>
      </c>
      <c r="K19" s="14" t="s">
        <v>56</v>
      </c>
      <c r="L19" s="3" t="s">
        <v>57</v>
      </c>
    </row>
    <row customHeight="true" ht="55.55555555555555" r="20">
      <c r="A20" s="15"/>
      <c r="B20" s="16">
        <v>11</v>
      </c>
      <c r="C20" s="17" t="s">
        <v>58</v>
      </c>
      <c r="D20" s="3" t="s">
        <v>59</v>
      </c>
      <c r="E20" s="16">
        <v>2</v>
      </c>
      <c r="F20" s="14">
        <v>4095</v>
      </c>
      <c r="G20" s="18" t="s">
        <v>31</v>
      </c>
      <c r="H20" s="14" t="s">
        <v>42</v>
      </c>
      <c r="I20" s="16">
        <v>1</v>
      </c>
      <c r="J20" s="16">
        <v>4095</v>
      </c>
      <c r="K20" s="14" t="s">
        <v>56</v>
      </c>
      <c r="L20" s="3" t="s">
        <v>60</v>
      </c>
    </row>
    <row customHeight="true" ht="40" r="21">
      <c r="A21" s="15"/>
      <c r="B21" s="16">
        <v>13</v>
      </c>
      <c r="C21" s="17" t="s">
        <v>61</v>
      </c>
      <c r="D21" s="3" t="s">
        <v>62</v>
      </c>
      <c r="E21" s="16">
        <v>1</v>
      </c>
      <c r="F21" s="14">
        <v>70</v>
      </c>
      <c r="G21" s="18" t="s">
        <v>31</v>
      </c>
      <c r="H21" s="14" t="s">
        <v>42</v>
      </c>
      <c r="I21" s="16">
        <v>0</v>
      </c>
      <c r="J21" s="16">
        <v>100</v>
      </c>
      <c r="K21" s="14" t="s">
        <v>63</v>
      </c>
      <c r="L21" s="3" t="s">
        <v>64</v>
      </c>
    </row>
    <row customHeight="true" ht="34.07407407407407" r="22">
      <c r="A22" s="15"/>
      <c r="B22" s="16">
        <v>14</v>
      </c>
      <c r="C22" s="17" t="s">
        <v>65</v>
      </c>
      <c r="D22" s="3" t="s">
        <v>66</v>
      </c>
      <c r="E22" s="16">
        <v>1</v>
      </c>
      <c r="F22" s="14">
        <v>140</v>
      </c>
      <c r="G22" s="18" t="s">
        <v>31</v>
      </c>
      <c r="H22" s="14" t="s">
        <v>42</v>
      </c>
      <c r="I22" s="16">
        <v>0</v>
      </c>
      <c r="J22" s="16">
        <v>254</v>
      </c>
      <c r="K22" s="14" t="s">
        <v>67</v>
      </c>
      <c r="L22" s="3" t="s">
        <v>68</v>
      </c>
    </row>
    <row customHeight="true" ht="37.77777777777778" r="23">
      <c r="A23" s="15"/>
      <c r="B23" s="16">
        <v>15</v>
      </c>
      <c r="C23" s="17" t="s">
        <v>69</v>
      </c>
      <c r="D23" s="3" t="s">
        <v>70</v>
      </c>
      <c r="E23" s="16">
        <v>1</v>
      </c>
      <c r="F23" s="14">
        <v>60</v>
      </c>
      <c r="G23" s="18" t="s">
        <v>31</v>
      </c>
      <c r="H23" s="14" t="s">
        <v>42</v>
      </c>
      <c r="I23" s="16">
        <v>0</v>
      </c>
      <c r="J23" s="16">
        <v>254</v>
      </c>
      <c r="K23" s="14" t="s">
        <v>67</v>
      </c>
      <c r="L23" s="3" t="s">
        <v>71</v>
      </c>
    </row>
    <row customHeight="true" ht="70.16038325794953" r="24">
      <c r="A24" s="15"/>
      <c r="B24" s="14">
        <v>16</v>
      </c>
      <c r="C24" s="19" t="s">
        <v>72</v>
      </c>
      <c r="D24" s="3" t="s">
        <v>73</v>
      </c>
      <c r="E24" s="20">
        <v>2</v>
      </c>
      <c r="F24" s="14">
        <v>680</v>
      </c>
      <c r="G24" s="21" t="s">
        <v>31</v>
      </c>
      <c r="H24" s="20" t="s">
        <v>42</v>
      </c>
      <c r="I24" s="23">
        <v>0</v>
      </c>
      <c r="J24" s="20">
        <v>1000</v>
      </c>
      <c r="K24" s="23">
        <v>0.001</v>
      </c>
      <c r="L24" s="3" t="s">
        <v>74</v>
      </c>
    </row>
    <row customHeight="true" ht="92.53855089927515" r="25">
      <c r="A25" s="15"/>
      <c r="B25" s="16">
        <v>18</v>
      </c>
      <c r="C25" s="17" t="s">
        <v>75</v>
      </c>
      <c r="D25" s="3" t="s">
        <v>76</v>
      </c>
      <c r="E25" s="16">
        <v>1</v>
      </c>
      <c r="F25" s="14">
        <v>1</v>
      </c>
      <c r="G25" s="18" t="s">
        <v>31</v>
      </c>
      <c r="H25" s="14" t="s">
        <v>42</v>
      </c>
      <c r="I25" s="24">
        <v>0</v>
      </c>
      <c r="J25" s="16">
        <v>254</v>
      </c>
      <c r="K25" s="25" t="s">
        <v>43</v>
      </c>
      <c r="L25" s="26" t="s">
        <v>77</v>
      </c>
    </row>
    <row customHeight="true" ht="88.79586084079568" r="26">
      <c r="A26" s="15"/>
      <c r="B26" s="16">
        <v>19</v>
      </c>
      <c r="C26" s="17" t="s">
        <v>78</v>
      </c>
      <c r="D26" s="3" t="s">
        <v>79</v>
      </c>
      <c r="E26" s="16">
        <v>1</v>
      </c>
      <c r="F26" s="14">
        <v>44</v>
      </c>
      <c r="G26" s="18" t="s">
        <v>31</v>
      </c>
      <c r="H26" s="14" t="s">
        <v>42</v>
      </c>
      <c r="I26" s="16">
        <v>0</v>
      </c>
      <c r="J26" s="16">
        <v>254</v>
      </c>
      <c r="K26" s="14" t="s">
        <v>43</v>
      </c>
      <c r="L26" s="3" t="s">
        <v>80</v>
      </c>
    </row>
    <row customHeight="true" ht="91.85185185185185" r="27">
      <c r="A27" s="15"/>
      <c r="B27" s="16">
        <v>20</v>
      </c>
      <c r="C27" s="17" t="s">
        <v>81</v>
      </c>
      <c r="D27" s="3" t="s">
        <v>82</v>
      </c>
      <c r="E27" s="16">
        <v>1</v>
      </c>
      <c r="F27" s="14">
        <v>47</v>
      </c>
      <c r="G27" s="18" t="s">
        <v>31</v>
      </c>
      <c r="H27" s="14" t="s">
        <v>42</v>
      </c>
      <c r="I27" s="16">
        <v>0</v>
      </c>
      <c r="J27" s="16">
        <v>254</v>
      </c>
      <c r="K27" s="14" t="s">
        <v>43</v>
      </c>
      <c r="L27" s="22" t="s">
        <v>83</v>
      </c>
    </row>
    <row customHeight="true" ht="33.33333333333333" r="28">
      <c r="A28" s="15"/>
      <c r="B28" s="16">
        <v>21</v>
      </c>
      <c r="C28" s="17" t="s">
        <v>84</v>
      </c>
      <c r="D28" s="3" t="s">
        <v>85</v>
      </c>
      <c r="E28" s="16">
        <v>1</v>
      </c>
      <c r="F28" s="14">
        <v>32</v>
      </c>
      <c r="G28" s="18" t="s">
        <v>31</v>
      </c>
      <c r="H28" s="14" t="s">
        <v>42</v>
      </c>
      <c r="I28" s="16">
        <v>0</v>
      </c>
      <c r="J28" s="16">
        <v>254</v>
      </c>
      <c r="K28" s="14" t="s">
        <v>43</v>
      </c>
      <c r="L28" s="3" t="s">
        <v>86</v>
      </c>
    </row>
    <row customHeight="true" ht="34.07407407407407" r="29">
      <c r="A29" s="15"/>
      <c r="B29" s="16">
        <v>22</v>
      </c>
      <c r="C29" s="17" t="s">
        <v>87</v>
      </c>
      <c r="D29" s="3" t="s">
        <v>88</v>
      </c>
      <c r="E29" s="16">
        <v>1</v>
      </c>
      <c r="F29" s="14">
        <v>32</v>
      </c>
      <c r="G29" s="18" t="s">
        <v>31</v>
      </c>
      <c r="H29" s="14" t="s">
        <v>42</v>
      </c>
      <c r="I29" s="16">
        <v>0</v>
      </c>
      <c r="J29" s="16">
        <v>254</v>
      </c>
      <c r="K29" s="14" t="s">
        <v>43</v>
      </c>
      <c r="L29" s="3" t="s">
        <v>89</v>
      </c>
    </row>
    <row customHeight="true" ht="38.51851851851852" r="30">
      <c r="A30" s="15"/>
      <c r="B30" s="16">
        <v>23</v>
      </c>
      <c r="C30" s="17" t="s">
        <v>90</v>
      </c>
      <c r="D30" s="3" t="s">
        <v>91</v>
      </c>
      <c r="E30" s="16">
        <v>1</v>
      </c>
      <c r="F30" s="14">
        <v>0</v>
      </c>
      <c r="G30" s="18" t="s">
        <v>31</v>
      </c>
      <c r="H30" s="14" t="s">
        <v>42</v>
      </c>
      <c r="I30" s="16">
        <v>0</v>
      </c>
      <c r="J30" s="16">
        <v>254</v>
      </c>
      <c r="K30" s="14" t="s">
        <v>43</v>
      </c>
      <c r="L30" s="3" t="s">
        <v>92</v>
      </c>
    </row>
    <row customHeight="true" ht="37.03703703703704" r="31">
      <c r="A31" s="15"/>
      <c r="B31" s="16">
        <v>24</v>
      </c>
      <c r="C31" s="17" t="s">
        <v>93</v>
      </c>
      <c r="D31" s="3" t="s">
        <v>94</v>
      </c>
      <c r="E31" s="27">
        <v>1</v>
      </c>
      <c r="F31" s="28">
        <v>25</v>
      </c>
      <c r="G31" s="18" t="s">
        <v>31</v>
      </c>
      <c r="H31" s="14" t="s">
        <v>42</v>
      </c>
      <c r="I31" s="24">
        <v>0</v>
      </c>
      <c r="J31" s="27">
        <v>254</v>
      </c>
      <c r="K31" s="29" t="s">
        <v>95</v>
      </c>
      <c r="L31" s="30" t="s">
        <v>96</v>
      </c>
    </row>
    <row customHeight="true" ht="26.666666666666664" r="32">
      <c r="A32" s="15"/>
      <c r="B32" s="16">
        <v>26</v>
      </c>
      <c r="C32" s="17" t="s">
        <v>97</v>
      </c>
      <c r="D32" s="3" t="s">
        <v>98</v>
      </c>
      <c r="E32" s="16">
        <v>1</v>
      </c>
      <c r="F32" s="14">
        <v>1</v>
      </c>
      <c r="G32" s="18" t="s">
        <v>31</v>
      </c>
      <c r="H32" s="14" t="s">
        <v>42</v>
      </c>
      <c r="I32" s="16">
        <v>0</v>
      </c>
      <c r="J32" s="16">
        <v>32</v>
      </c>
      <c r="K32" s="14" t="s">
        <v>56</v>
      </c>
      <c r="L32" s="3" t="s">
        <v>99</v>
      </c>
    </row>
    <row customHeight="true" ht="26.666666666666664" r="33">
      <c r="A33" s="15"/>
      <c r="B33" s="16">
        <v>27</v>
      </c>
      <c r="C33" s="17" t="s">
        <v>100</v>
      </c>
      <c r="D33" s="3" t="s">
        <v>101</v>
      </c>
      <c r="E33" s="16">
        <v>1</v>
      </c>
      <c r="F33" s="14">
        <v>1</v>
      </c>
      <c r="G33" s="18" t="s">
        <v>31</v>
      </c>
      <c r="H33" s="14" t="s">
        <v>42</v>
      </c>
      <c r="I33" s="16">
        <v>0</v>
      </c>
      <c r="J33" s="16">
        <v>32</v>
      </c>
      <c r="K33" s="14" t="s">
        <v>56</v>
      </c>
      <c r="L33" s="3" t="s">
        <v>99</v>
      </c>
    </row>
    <row customHeight="true" ht="51.85185185185185" r="34">
      <c r="A34" s="15"/>
      <c r="B34" s="16">
        <v>28</v>
      </c>
      <c r="C34" s="17" t="s">
        <v>102</v>
      </c>
      <c r="D34" s="3" t="s">
        <v>103</v>
      </c>
      <c r="E34" s="16">
        <v>2</v>
      </c>
      <c r="F34" s="14">
        <v>500</v>
      </c>
      <c r="G34" s="18" t="s">
        <v>31</v>
      </c>
      <c r="H34" s="14" t="s">
        <v>42</v>
      </c>
      <c r="I34" s="16">
        <v>0</v>
      </c>
      <c r="J34" s="16">
        <v>511</v>
      </c>
      <c r="K34" s="14" t="s">
        <v>95</v>
      </c>
      <c r="L34" s="3" t="s">
        <v>104</v>
      </c>
    </row>
    <row customHeight="true" ht="40" r="35">
      <c r="A35" s="15"/>
      <c r="B35" s="16">
        <v>31</v>
      </c>
      <c r="C35" s="17" t="s">
        <v>105</v>
      </c>
      <c r="D35" s="3" t="s">
        <v>106</v>
      </c>
      <c r="E35" s="16">
        <v>2</v>
      </c>
      <c r="F35" s="14">
        <v>0</v>
      </c>
      <c r="G35" s="18" t="s">
        <v>31</v>
      </c>
      <c r="H35" s="14" t="s">
        <v>42</v>
      </c>
      <c r="I35" s="16">
        <v>-2047</v>
      </c>
      <c r="J35" s="16">
        <v>2047</v>
      </c>
      <c r="K35" s="14" t="s">
        <v>56</v>
      </c>
      <c r="L35" s="3" t="s">
        <v>107</v>
      </c>
    </row>
    <row customHeight="true" ht="134.8148148148148" r="36">
      <c r="A36" s="15"/>
      <c r="B36" s="16">
        <v>33</v>
      </c>
      <c r="C36" s="17" t="s">
        <v>108</v>
      </c>
      <c r="D36" s="3" t="s">
        <v>109</v>
      </c>
      <c r="E36" s="16">
        <v>1</v>
      </c>
      <c r="F36" s="14">
        <v>0</v>
      </c>
      <c r="G36" s="18" t="s">
        <v>31</v>
      </c>
      <c r="H36" s="14" t="s">
        <v>42</v>
      </c>
      <c r="I36" s="16">
        <v>0</v>
      </c>
      <c r="J36" s="16">
        <v>2</v>
      </c>
      <c r="K36" s="14" t="s">
        <v>43</v>
      </c>
      <c r="L36" s="31" t="s">
        <v>110</v>
      </c>
    </row>
    <row customHeight="true" ht="33.33333333333333" r="37">
      <c r="A37" s="15"/>
      <c r="B37" s="16">
        <v>34</v>
      </c>
      <c r="C37" s="17" t="s">
        <v>111</v>
      </c>
      <c r="D37" s="3" t="s">
        <v>112</v>
      </c>
      <c r="E37" s="20">
        <v>1</v>
      </c>
      <c r="F37" s="14">
        <v>200</v>
      </c>
      <c r="G37" s="21" t="s">
        <v>31</v>
      </c>
      <c r="H37" s="20" t="s">
        <v>42</v>
      </c>
      <c r="I37" s="32">
        <v>0</v>
      </c>
      <c r="J37" s="20">
        <v>255</v>
      </c>
      <c r="K37" s="32" t="s">
        <v>43</v>
      </c>
      <c r="L37" s="22" t="s">
        <v>113</v>
      </c>
    </row>
    <row customHeight="true" ht="26.666666666666664" r="38">
      <c r="A38" s="15"/>
      <c r="B38" s="16">
        <v>35</v>
      </c>
      <c r="C38" s="17" t="s">
        <v>114</v>
      </c>
      <c r="D38" s="3" t="s">
        <v>115</v>
      </c>
      <c r="E38" s="33">
        <v>1</v>
      </c>
      <c r="F38" s="14">
        <v>50</v>
      </c>
      <c r="G38" s="34" t="s">
        <v>31</v>
      </c>
      <c r="H38" s="33" t="s">
        <v>42</v>
      </c>
      <c r="I38" s="33">
        <v>0</v>
      </c>
      <c r="J38" s="33">
        <v>255</v>
      </c>
      <c r="K38" s="35" t="s">
        <v>43</v>
      </c>
      <c r="L38" s="36" t="s">
        <v>116</v>
      </c>
    </row>
    <row customHeight="true" ht="40" r="39">
      <c r="A39" s="15"/>
      <c r="B39" s="16">
        <v>36</v>
      </c>
      <c r="C39" s="17" t="s">
        <v>117</v>
      </c>
      <c r="D39" s="3" t="s">
        <v>118</v>
      </c>
      <c r="E39" s="33">
        <v>1</v>
      </c>
      <c r="F39" s="14">
        <v>80</v>
      </c>
      <c r="G39" s="34" t="s">
        <v>31</v>
      </c>
      <c r="H39" s="33" t="s">
        <v>42</v>
      </c>
      <c r="I39" s="35">
        <v>0</v>
      </c>
      <c r="J39" s="33">
        <v>100</v>
      </c>
      <c r="K39" s="35" t="s">
        <v>95</v>
      </c>
      <c r="L39" s="36" t="s">
        <v>119</v>
      </c>
    </row>
    <row customHeight="true" ht="33.33333333333333" r="40">
      <c r="A40" s="15"/>
      <c r="B40" s="16">
        <v>37</v>
      </c>
      <c r="C40" s="17" t="s">
        <v>120</v>
      </c>
      <c r="D40" s="3" t="s">
        <v>121</v>
      </c>
      <c r="E40" s="16">
        <v>1</v>
      </c>
      <c r="F40" s="14">
        <v>10</v>
      </c>
      <c r="G40" s="18" t="s">
        <v>31</v>
      </c>
      <c r="H40" s="14" t="s">
        <v>42</v>
      </c>
      <c r="I40" s="16">
        <v>0</v>
      </c>
      <c r="J40" s="16">
        <v>254</v>
      </c>
      <c r="K40" s="25" t="s">
        <v>43</v>
      </c>
      <c r="L40" s="37" t="s">
        <v>122</v>
      </c>
    </row>
    <row customHeight="true" ht="31.11111111111111" r="41">
      <c r="A41" s="15"/>
      <c r="B41" s="16">
        <v>38</v>
      </c>
      <c r="C41" s="17" t="s">
        <v>123</v>
      </c>
      <c r="D41" s="3" t="s">
        <v>124</v>
      </c>
      <c r="E41" s="16">
        <v>1</v>
      </c>
      <c r="F41" s="14">
        <v>200</v>
      </c>
      <c r="G41" s="18" t="s">
        <v>31</v>
      </c>
      <c r="H41" s="14" t="s">
        <v>42</v>
      </c>
      <c r="I41" s="16">
        <v>0</v>
      </c>
      <c r="J41" s="16">
        <v>254</v>
      </c>
      <c r="K41" s="16" t="s">
        <v>125</v>
      </c>
      <c r="L41" s="3" t="s">
        <v>126</v>
      </c>
    </row>
    <row customHeight="true" ht="31.11111111111111" r="42">
      <c r="A42" s="15"/>
      <c r="B42" s="16">
        <v>39</v>
      </c>
      <c r="C42" s="17" t="s">
        <v>127</v>
      </c>
      <c r="D42" s="3" t="s">
        <v>128</v>
      </c>
      <c r="E42" s="16">
        <v>1</v>
      </c>
      <c r="F42" s="14">
        <v>10</v>
      </c>
      <c r="G42" s="18" t="s">
        <v>31</v>
      </c>
      <c r="H42" s="14" t="s">
        <v>42</v>
      </c>
      <c r="I42" s="16">
        <v>0</v>
      </c>
      <c r="J42" s="16">
        <v>254</v>
      </c>
      <c r="K42" s="14" t="s">
        <v>43</v>
      </c>
      <c r="L42" s="37" t="s">
        <v>129</v>
      </c>
    </row>
    <row customHeight="true" ht="37.77777777777778" r="43">
      <c r="A43" s="15"/>
      <c r="B43" s="16">
        <v>40</v>
      </c>
      <c r="C43" s="17" t="s">
        <v>130</v>
      </c>
      <c r="D43" s="3" t="s">
        <v>131</v>
      </c>
      <c r="E43" s="16">
        <v>1</v>
      </c>
      <c r="F43" s="14">
        <v>0</v>
      </c>
      <c r="G43" s="38" t="s">
        <v>132</v>
      </c>
      <c r="H43" s="14" t="s">
        <v>42</v>
      </c>
      <c r="I43" s="16">
        <v>0</v>
      </c>
      <c r="J43" s="16">
        <v>2</v>
      </c>
      <c r="K43" s="14" t="s">
        <v>43</v>
      </c>
      <c r="L43" s="3" t="s">
        <v>133</v>
      </c>
    </row>
    <row customHeight="true" ht="26.666666666666664" r="44">
      <c r="A44" s="15"/>
      <c r="B44" s="16">
        <v>41</v>
      </c>
      <c r="C44" s="17" t="s">
        <v>134</v>
      </c>
      <c r="D44" s="3" t="s">
        <v>135</v>
      </c>
      <c r="E44" s="16">
        <v>1</v>
      </c>
      <c r="F44" s="14">
        <v>0</v>
      </c>
      <c r="G44" s="38" t="s">
        <v>132</v>
      </c>
      <c r="H44" s="14" t="s">
        <v>42</v>
      </c>
      <c r="I44" s="16">
        <v>0</v>
      </c>
      <c r="J44" s="16">
        <v>254</v>
      </c>
      <c r="K44" s="14" t="s">
        <v>136</v>
      </c>
      <c r="L44" s="37" t="s">
        <v>137</v>
      </c>
    </row>
    <row customHeight="true" ht="39.25925925925926" r="45">
      <c r="A45" s="15"/>
      <c r="B45" s="16">
        <v>42</v>
      </c>
      <c r="C45" s="17" t="s">
        <v>138</v>
      </c>
      <c r="D45" s="3" t="s">
        <v>139</v>
      </c>
      <c r="E45" s="16">
        <v>2</v>
      </c>
      <c r="F45" s="14">
        <v>0</v>
      </c>
      <c r="G45" s="38" t="s">
        <v>132</v>
      </c>
      <c r="H45" s="14" t="s">
        <v>42</v>
      </c>
      <c r="I45" s="16">
        <v>-32766</v>
      </c>
      <c r="J45" s="16">
        <v>32766</v>
      </c>
      <c r="K45" s="14" t="s">
        <v>56</v>
      </c>
      <c r="L45" s="39" t="s">
        <v>140</v>
      </c>
    </row>
    <row customHeight="true" ht="53.33333333333333" r="46">
      <c r="A46" s="15"/>
      <c r="B46" s="14">
        <v>44</v>
      </c>
      <c r="C46" s="19" t="s">
        <v>141</v>
      </c>
      <c r="D46" s="3" t="s">
        <v>142</v>
      </c>
      <c r="E46" s="20">
        <v>2</v>
      </c>
      <c r="F46" s="14" t="s">
        <v>143</v>
      </c>
      <c r="G46" s="38" t="s">
        <v>132</v>
      </c>
      <c r="H46" s="20" t="s">
        <v>42</v>
      </c>
      <c r="I46" s="23">
        <v>-2047</v>
      </c>
      <c r="J46" s="20">
        <v>2047</v>
      </c>
      <c r="K46" s="23" t="s">
        <v>95</v>
      </c>
      <c r="L46" s="30" t="s">
        <v>144</v>
      </c>
    </row>
    <row customHeight="true" ht="44.44444444444444" r="47">
      <c r="A47" s="15"/>
      <c r="B47" s="16">
        <v>46</v>
      </c>
      <c r="C47" s="17" t="s">
        <v>145</v>
      </c>
      <c r="D47" s="3" t="s">
        <v>146</v>
      </c>
      <c r="E47" s="16">
        <v>2</v>
      </c>
      <c r="F47" s="14">
        <v>0</v>
      </c>
      <c r="G47" s="38" t="s">
        <v>132</v>
      </c>
      <c r="H47" s="14" t="s">
        <v>42</v>
      </c>
      <c r="I47" s="16">
        <v>0</v>
      </c>
      <c r="J47" s="16">
        <v>254</v>
      </c>
      <c r="K47" s="40" t="s">
        <v>56</v>
      </c>
      <c r="L47" s="3" t="s">
        <v>147</v>
      </c>
    </row>
    <row customHeight="true" ht="62.22222222222222" r="48">
      <c r="A48" s="15"/>
      <c r="B48" s="14">
        <v>48</v>
      </c>
      <c r="C48" s="19" t="s">
        <v>148</v>
      </c>
      <c r="D48" s="3" t="s">
        <v>149</v>
      </c>
      <c r="E48" s="20">
        <v>2</v>
      </c>
      <c r="F48" s="14">
        <v>1000</v>
      </c>
      <c r="G48" s="38" t="s">
        <v>132</v>
      </c>
      <c r="H48" s="20" t="s">
        <v>42</v>
      </c>
      <c r="I48" s="32">
        <v>0</v>
      </c>
      <c r="J48" s="20">
        <v>1000</v>
      </c>
      <c r="K48" s="32">
        <v>0.001</v>
      </c>
      <c r="L48" s="39" t="s">
        <v>150</v>
      </c>
    </row>
    <row customHeight="true" ht="53.33333333333333" r="49">
      <c r="A49" s="15"/>
      <c r="B49" s="14">
        <v>50</v>
      </c>
      <c r="C49" s="19" t="s">
        <v>151</v>
      </c>
      <c r="D49" s="3" t="s">
        <v>152</v>
      </c>
      <c r="E49" s="20">
        <v>1</v>
      </c>
      <c r="F49" s="14" t="s">
        <v>143</v>
      </c>
      <c r="G49" s="38" t="s">
        <v>132</v>
      </c>
      <c r="H49" s="20" t="s">
        <v>42</v>
      </c>
      <c r="I49" s="20">
        <v>0</v>
      </c>
      <c r="J49" s="20">
        <v>255</v>
      </c>
      <c r="K49" s="32" t="s">
        <v>43</v>
      </c>
      <c r="L49" s="22" t="s">
        <v>153</v>
      </c>
    </row>
    <row customHeight="true" ht="53.33333333333333" r="50">
      <c r="A50" s="15"/>
      <c r="B50" s="41">
        <v>51</v>
      </c>
      <c r="C50" s="42" t="s">
        <v>154</v>
      </c>
      <c r="D50" s="3" t="s">
        <v>155</v>
      </c>
      <c r="E50" s="33">
        <v>1</v>
      </c>
      <c r="F50" s="14" t="s">
        <v>143</v>
      </c>
      <c r="G50" s="38" t="s">
        <v>132</v>
      </c>
      <c r="H50" s="33" t="s">
        <v>42</v>
      </c>
      <c r="I50" s="33">
        <v>0</v>
      </c>
      <c r="J50" s="33">
        <v>255</v>
      </c>
      <c r="K50" s="33" t="s">
        <v>43</v>
      </c>
      <c r="L50" s="36" t="s">
        <v>156</v>
      </c>
    </row>
    <row customHeight="true" ht="42.96296296296296" r="51">
      <c r="A51" s="15"/>
      <c r="B51" s="41">
        <v>52</v>
      </c>
      <c r="C51" s="42" t="s">
        <v>157</v>
      </c>
      <c r="D51" s="3" t="s">
        <v>158</v>
      </c>
      <c r="E51" s="33">
        <v>1</v>
      </c>
      <c r="F51" s="14" t="s">
        <v>143</v>
      </c>
      <c r="G51" s="38" t="s">
        <v>132</v>
      </c>
      <c r="H51" s="33" t="s">
        <v>42</v>
      </c>
      <c r="I51" s="33">
        <v>0</v>
      </c>
      <c r="J51" s="33">
        <v>255</v>
      </c>
      <c r="K51" s="33" t="s">
        <v>43</v>
      </c>
      <c r="L51" s="36" t="s">
        <v>159</v>
      </c>
    </row>
    <row customHeight="true" ht="75.55555555555556" r="52">
      <c r="A52" s="15"/>
      <c r="B52" s="43">
        <v>55</v>
      </c>
      <c r="C52" s="19" t="s">
        <v>160</v>
      </c>
      <c r="D52" s="3" t="s">
        <v>161</v>
      </c>
      <c r="E52" s="20">
        <v>1</v>
      </c>
      <c r="F52" s="14">
        <v>0</v>
      </c>
      <c r="G52" s="38" t="s">
        <v>132</v>
      </c>
      <c r="H52" s="20" t="s">
        <v>42</v>
      </c>
      <c r="I52" s="20">
        <v>0</v>
      </c>
      <c r="J52" s="20">
        <v>1</v>
      </c>
      <c r="K52" s="20" t="s">
        <v>43</v>
      </c>
      <c r="L52" s="22" t="s">
        <v>162</v>
      </c>
    </row>
    <row customHeight="true" ht="40.74074074074074" r="53">
      <c r="A53" s="15"/>
      <c r="B53" s="44">
        <v>56</v>
      </c>
      <c r="C53" s="19" t="s">
        <v>163</v>
      </c>
      <c r="D53" s="3" t="s">
        <v>164</v>
      </c>
      <c r="E53" s="16">
        <v>2</v>
      </c>
      <c r="F53" s="14">
        <v>0</v>
      </c>
      <c r="G53" s="38" t="s">
        <v>132</v>
      </c>
      <c r="H53" s="14" t="s">
        <v>165</v>
      </c>
      <c r="I53" s="14" t="s">
        <v>33</v>
      </c>
      <c r="J53" s="20" t="s">
        <v>33</v>
      </c>
      <c r="K53" s="25" t="s">
        <v>56</v>
      </c>
      <c r="L53" s="3" t="s">
        <v>166</v>
      </c>
    </row>
    <row customHeight="true" ht="43.7037037037037" r="54">
      <c r="A54" s="15"/>
      <c r="B54" s="45">
        <v>58</v>
      </c>
      <c r="C54" s="19" t="s">
        <v>167</v>
      </c>
      <c r="D54" s="3" t="s">
        <v>168</v>
      </c>
      <c r="E54" s="16">
        <v>2</v>
      </c>
      <c r="F54" s="14">
        <v>0</v>
      </c>
      <c r="G54" s="38" t="s">
        <v>132</v>
      </c>
      <c r="H54" s="14" t="s">
        <v>165</v>
      </c>
      <c r="I54" s="41" t="s">
        <v>33</v>
      </c>
      <c r="J54" s="33" t="s">
        <v>33</v>
      </c>
      <c r="K54" s="6" t="s">
        <v>56</v>
      </c>
      <c r="L54" s="3" t="s">
        <v>169</v>
      </c>
    </row>
    <row customHeight="true" ht="31.11111111111111" r="55">
      <c r="A55" s="15"/>
      <c r="B55" s="45">
        <v>60</v>
      </c>
      <c r="C55" s="46" t="s">
        <v>170</v>
      </c>
      <c r="D55" s="3" t="s">
        <v>171</v>
      </c>
      <c r="E55" s="22">
        <v>2</v>
      </c>
      <c r="F55" s="14">
        <v>0</v>
      </c>
      <c r="G55" s="38" t="s">
        <v>132</v>
      </c>
      <c r="H55" s="22" t="s">
        <v>165</v>
      </c>
      <c r="I55" s="22" t="s">
        <v>33</v>
      </c>
      <c r="J55" s="22" t="s">
        <v>33</v>
      </c>
      <c r="K55" s="22">
        <v>0.001</v>
      </c>
      <c r="L55" s="22" t="s">
        <v>172</v>
      </c>
    </row>
    <row customHeight="true" ht="24.444444444444443" r="56">
      <c r="A56" s="15"/>
      <c r="B56" s="44">
        <v>62</v>
      </c>
      <c r="C56" s="19" t="s">
        <v>173</v>
      </c>
      <c r="D56" s="3" t="s">
        <v>174</v>
      </c>
      <c r="E56" s="16">
        <v>1</v>
      </c>
      <c r="F56" s="14">
        <v>0</v>
      </c>
      <c r="G56" s="38" t="s">
        <v>132</v>
      </c>
      <c r="H56" s="14" t="s">
        <v>165</v>
      </c>
      <c r="I56" s="41" t="s">
        <v>33</v>
      </c>
      <c r="J56" s="33" t="s">
        <v>33</v>
      </c>
      <c r="K56" s="14" t="s">
        <v>67</v>
      </c>
      <c r="L56" s="3" t="s">
        <v>175</v>
      </c>
    </row>
    <row customHeight="true" ht="28.888888888888886" r="57">
      <c r="A57" s="15"/>
      <c r="B57" s="47">
        <v>63</v>
      </c>
      <c r="C57" s="17" t="s">
        <v>176</v>
      </c>
      <c r="D57" s="3" t="s">
        <v>177</v>
      </c>
      <c r="E57" s="16">
        <v>1</v>
      </c>
      <c r="F57" s="14">
        <v>0</v>
      </c>
      <c r="G57" s="38" t="s">
        <v>132</v>
      </c>
      <c r="H57" s="14" t="s">
        <v>165</v>
      </c>
      <c r="I57" s="41" t="s">
        <v>33</v>
      </c>
      <c r="J57" s="33" t="s">
        <v>33</v>
      </c>
      <c r="K57" s="14" t="s">
        <v>63</v>
      </c>
      <c r="L57" s="3" t="s">
        <v>178</v>
      </c>
    </row>
    <row customHeight="true" ht="26.666666666666664" r="58">
      <c r="A58" s="15"/>
      <c r="B58" s="16">
        <v>64</v>
      </c>
      <c r="C58" s="17" t="s">
        <v>179</v>
      </c>
      <c r="D58" s="3" t="s">
        <v>180</v>
      </c>
      <c r="E58" s="16">
        <v>1</v>
      </c>
      <c r="F58" s="14">
        <v>0</v>
      </c>
      <c r="G58" s="38" t="s">
        <v>132</v>
      </c>
      <c r="H58" s="14" t="s">
        <v>165</v>
      </c>
      <c r="I58" s="41" t="s">
        <v>33</v>
      </c>
      <c r="J58" s="33" t="s">
        <v>33</v>
      </c>
      <c r="K58" s="14" t="s">
        <v>43</v>
      </c>
      <c r="L58" s="3" t="s">
        <v>181</v>
      </c>
    </row>
    <row customHeight="true" ht="21.48148148148148" r="59">
      <c r="A59" s="15"/>
      <c r="B59" s="16">
        <v>66</v>
      </c>
      <c r="C59" s="17" t="s">
        <v>182</v>
      </c>
      <c r="D59" s="3" t="s">
        <v>183</v>
      </c>
      <c r="E59" s="16">
        <v>1</v>
      </c>
      <c r="F59" s="14">
        <v>0</v>
      </c>
      <c r="G59" s="38" t="s">
        <v>132</v>
      </c>
      <c r="H59" s="14" t="s">
        <v>165</v>
      </c>
      <c r="I59" s="14" t="s">
        <v>33</v>
      </c>
      <c r="J59" s="20" t="s">
        <v>33</v>
      </c>
      <c r="K59" s="14" t="s">
        <v>43</v>
      </c>
      <c r="L59" s="3" t="s">
        <v>184</v>
      </c>
    </row>
    <row r="60">
      <c r="B60" s="16">
        <v>67</v>
      </c>
      <c r="C60" s="17" t="s">
        <v>185</v>
      </c>
      <c r="D60" s="3" t="s">
        <v>186</v>
      </c>
      <c r="E60" s="16">
        <v>2</v>
      </c>
      <c r="F60" s="14">
        <v>0</v>
      </c>
      <c r="G60" s="38" t="s">
        <v>132</v>
      </c>
      <c r="H60" s="14" t="s">
        <v>165</v>
      </c>
      <c r="I60" s="41" t="s">
        <v>33</v>
      </c>
      <c r="J60" s="33" t="s">
        <v>33</v>
      </c>
      <c r="K60" s="14" t="s">
        <v>56</v>
      </c>
      <c r="L60" s="3" t="s">
        <v>187</v>
      </c>
    </row>
    <row r="61">
      <c r="B61" s="1"/>
      <c r="C61" s="1"/>
      <c r="E61" s="1"/>
      <c r="G61" s="1"/>
      <c r="H61" s="1"/>
      <c r="I61" s="1"/>
      <c r="J61" s="1"/>
      <c r="K61" s="1"/>
    </row>
    <row r="62">
      <c r="B62" s="1"/>
      <c r="C62" s="1"/>
      <c r="E62" s="1"/>
      <c r="G62" s="1"/>
      <c r="H62" s="1"/>
      <c r="I62" s="1"/>
      <c r="J62" s="1"/>
      <c r="K62" s="1"/>
    </row>
    <row r="63">
      <c r="B63" s="1"/>
      <c r="C63" s="1"/>
      <c r="E63" s="1"/>
      <c r="G63" s="1"/>
      <c r="I63" s="1"/>
      <c r="J63" s="1"/>
      <c r="K63" s="1"/>
    </row>
    <row r="64">
      <c r="B64" s="1"/>
      <c r="C64" s="1"/>
      <c r="E64" s="1"/>
      <c r="G64" s="1"/>
      <c r="H64" s="1"/>
      <c r="J64" s="1"/>
      <c r="K64" s="1"/>
    </row>
  </sheetData>
  <mergeCells>
    <mergeCell ref="B9:C9"/>
    <mergeCell ref="G8:I8"/>
    <mergeCell ref="C8:D8"/>
    <mergeCell ref="G7:I7"/>
    <mergeCell ref="C7:D7"/>
    <mergeCell ref="G6:I6"/>
    <mergeCell ref="C6:D6"/>
    <mergeCell ref="F5:L5"/>
    <mergeCell ref="C5:D5"/>
    <mergeCell ref="G4:I4"/>
    <mergeCell ref="C4:D4"/>
    <mergeCell ref="G3:I3"/>
    <mergeCell ref="C3:D3"/>
    <mergeCell ref="B2:L2"/>
    <mergeCell ref="C1:J1"/>
  </mergeCell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8" min="18" style="0" width="9.4"/>
    <col collapsed="false" customWidth="true" hidden="false" max="2" min="2" style="0" width="9.4"/>
    <col collapsed="false" customWidth="true" hidden="false" max="6" min="6" style="0" width="27.266666666666666"/>
    <col collapsed="false" customWidth="true" hidden="false" max="10" min="10" style="0" width="18.2"/>
    <col collapsed="false" customWidth="true" hidden="false" max="14" min="14" style="0" width="15.666666666666666"/>
    <col collapsed="false" customWidth="true" hidden="false" max="17" min="17" style="0" width="11.8"/>
    <col collapsed="false" customWidth="true" hidden="false" max="1" min="1" style="0" width="9.4"/>
    <col collapsed="false" customWidth="true" hidden="false" max="5" min="5" style="0" width="6.066666666666666"/>
    <col collapsed="false" customWidth="true" hidden="false" max="9" min="9" style="0" width="20.866666666666667"/>
    <col collapsed="false" customWidth="true" hidden="false" max="13" min="13" style="0" width="15.666666666666666"/>
    <col collapsed="false" customWidth="true" hidden="false" max="20" min="20" style="0" width="9.4"/>
    <col collapsed="false" customWidth="true" hidden="false" max="4" min="4" style="0" width="6.066666666666666"/>
    <col collapsed="false" customWidth="true" hidden="false" max="8" min="8" style="0" width="15.666666666666666"/>
    <col collapsed="false" customWidth="true" hidden="false" max="12" min="12" style="0" width="14.466666666666667"/>
    <col collapsed="false" customWidth="true" hidden="false" max="16" min="16" style="0" width="11.8"/>
    <col collapsed="false" customWidth="true" hidden="false" max="19" min="19" style="0" width="9.4"/>
    <col collapsed="false" customWidth="true" hidden="false" max="3" min="3" style="0" width="17.933333333333334"/>
    <col collapsed="false" customWidth="true" hidden="false" max="7" min="7" style="0" width="22.866666666666667"/>
    <col collapsed="false" customWidth="true" hidden="false" max="11" min="11" style="0" width="11.266666666666667"/>
    <col collapsed="false" customWidth="true" hidden="false" max="15" min="15" style="0" width="17.133333333333333"/>
  </cols>
  <sheetData>
    <row customHeight="true" ht="16.296296296296294" r="1">
      <c r="A1" s="48"/>
      <c r="B1" s="48"/>
      <c r="C1" s="48"/>
      <c r="D1" s="48"/>
      <c r="E1" s="49" t="s">
        <v>188</v>
      </c>
      <c r="F1" s="49"/>
      <c r="G1" s="49"/>
      <c r="H1" s="50" t="s">
        <v>189</v>
      </c>
      <c r="I1" s="50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customHeight="true" ht="16.296296296296294" r="2">
      <c r="A2" s="48"/>
      <c r="B2" s="48"/>
      <c r="C2" s="48"/>
      <c r="D2" s="48"/>
      <c r="E2" s="51" t="s">
        <v>190</v>
      </c>
      <c r="F2" s="51"/>
      <c r="G2" s="51" t="s">
        <v>191</v>
      </c>
      <c r="H2" s="50" t="s">
        <v>192</v>
      </c>
      <c r="I2" s="50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customHeight="true" ht="16.296296296296294" r="3">
      <c r="A3" s="48"/>
      <c r="B3" s="48"/>
      <c r="C3" s="48"/>
      <c r="D3" s="48"/>
      <c r="E3" s="52" t="s">
        <v>193</v>
      </c>
      <c r="F3" s="52"/>
      <c r="G3" s="53">
        <v>254</v>
      </c>
      <c r="H3" s="50" t="s">
        <v>194</v>
      </c>
      <c r="I3" s="50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</row>
    <row customHeight="true" ht="16.296296296296294" r="4">
      <c r="A4" s="48"/>
      <c r="B4" s="48"/>
      <c r="C4" s="48"/>
      <c r="D4" s="48"/>
      <c r="E4" s="52" t="s">
        <v>195</v>
      </c>
      <c r="F4" s="52"/>
      <c r="G4" s="53">
        <v>3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customHeight="true" ht="16.296296296296294" r="5">
      <c r="A5" s="48"/>
      <c r="B5" s="48"/>
      <c r="C5" s="48"/>
      <c r="D5" s="48"/>
      <c r="E5" s="52" t="s">
        <v>196</v>
      </c>
      <c r="F5" s="52"/>
      <c r="G5" s="53">
        <v>55</v>
      </c>
      <c r="H5" s="50"/>
      <c r="I5" s="50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customHeight="true" ht="16.296296296296294" r="6">
      <c r="A6" s="48"/>
      <c r="B6" s="48"/>
      <c r="C6" s="48"/>
      <c r="D6" s="48"/>
      <c r="E6" s="52" t="s">
        <v>197</v>
      </c>
      <c r="F6" s="52"/>
      <c r="G6" s="53">
        <v>0</v>
      </c>
      <c r="H6" s="48" t="s">
        <v>198</v>
      </c>
      <c r="I6" s="48" t="s">
        <v>199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</row>
    <row customHeight="true" ht="34.81481481481481" r="7">
      <c r="A7" s="48"/>
      <c r="B7" s="48"/>
      <c r="C7" s="49" t="s">
        <v>200</v>
      </c>
      <c r="D7" s="49"/>
      <c r="E7" s="49"/>
      <c r="F7" s="49"/>
      <c r="G7" s="49"/>
      <c r="H7" s="49"/>
      <c r="I7" s="49"/>
      <c r="J7" s="49"/>
      <c r="K7" s="49"/>
      <c r="L7" s="48"/>
      <c r="M7" s="48"/>
      <c r="N7" s="48"/>
      <c r="O7" s="48"/>
      <c r="P7" s="48"/>
      <c r="Q7" s="48"/>
      <c r="R7" s="48"/>
      <c r="S7" s="48"/>
      <c r="T7" s="48"/>
    </row>
    <row customHeight="true" ht="35.55555555555555" r="8">
      <c r="A8" s="48"/>
      <c r="B8" s="48"/>
      <c r="C8" s="54" t="s">
        <v>201</v>
      </c>
      <c r="D8" s="55" t="s">
        <v>202</v>
      </c>
      <c r="E8" s="56"/>
      <c r="F8" s="51" t="s">
        <v>193</v>
      </c>
      <c r="G8" s="57" t="s">
        <v>203</v>
      </c>
      <c r="H8" s="51" t="s">
        <v>204</v>
      </c>
      <c r="I8" s="51" t="s">
        <v>205</v>
      </c>
      <c r="J8" s="58" t="s">
        <v>206</v>
      </c>
      <c r="K8" s="51" t="s">
        <v>207</v>
      </c>
      <c r="L8" s="48"/>
      <c r="M8" s="48"/>
      <c r="N8" s="48"/>
      <c r="O8" s="48"/>
      <c r="P8" s="48"/>
      <c r="Q8" s="48"/>
      <c r="R8" s="48"/>
      <c r="S8" s="48"/>
      <c r="T8" s="48"/>
    </row>
    <row customHeight="true" ht="16.296296296296294" r="9">
      <c r="A9" s="48"/>
      <c r="B9" s="48"/>
      <c r="C9" s="54" t="s">
        <v>208</v>
      </c>
      <c r="D9" s="51">
        <f>DEC2HEX(255,2)</f>
      </c>
      <c r="E9" s="51">
        <f>DEC2HEX(255,2)</f>
      </c>
      <c r="F9" s="51">
        <f>DEC2HEX(G3,2)</f>
      </c>
      <c r="G9" s="51">
        <f>DEC2HEX(4,2)</f>
      </c>
      <c r="H9" s="51">
        <f>DEC2HEX(G4,2)</f>
      </c>
      <c r="I9" s="51">
        <f>DEC2HEX(G5,2)</f>
      </c>
      <c r="J9" s="51">
        <f>DEC2HEX(G6,2)</f>
      </c>
      <c r="K9" s="51">
        <f>DEC2HEX(_xlfn.BITXOR(_xlfn.BITAND(SUM(F10+G10+H10+I10+J10),255),255),2)</f>
      </c>
      <c r="L9" s="48"/>
      <c r="M9" s="48"/>
      <c r="N9" s="48"/>
      <c r="O9" s="48"/>
      <c r="P9" s="48"/>
      <c r="Q9" s="48"/>
      <c r="R9" s="48"/>
      <c r="S9" s="48"/>
      <c r="T9" s="48"/>
    </row>
    <row customHeight="true" ht="16.296296296296294" r="10">
      <c r="A10" s="48"/>
      <c r="B10" s="48"/>
      <c r="C10" s="51" t="s">
        <v>209</v>
      </c>
      <c r="D10" s="51">
        <f>HEX2DEC(D9)</f>
      </c>
      <c r="E10" s="51">
        <f>HEX2DEC(E9)</f>
      </c>
      <c r="F10" s="51">
        <f>HEX2DEC(F9)</f>
      </c>
      <c r="G10" s="51">
        <f>HEX2DEC(G9)</f>
      </c>
      <c r="H10" s="51">
        <f>HEX2DEC(H9)</f>
      </c>
      <c r="I10" s="51">
        <f>HEX2DEC(I9)</f>
      </c>
      <c r="J10" s="51">
        <f>HEX2DEC(J9)</f>
      </c>
      <c r="K10" s="51">
        <f>HEX2DEC(K9)</f>
      </c>
      <c r="L10" s="48"/>
      <c r="M10" s="48"/>
      <c r="N10" s="48"/>
      <c r="O10" s="48"/>
      <c r="P10" s="48"/>
      <c r="Q10" s="48"/>
      <c r="R10" s="48"/>
      <c r="S10" s="48"/>
      <c r="T10" s="48"/>
    </row>
    <row customHeight="true" ht="50.37037037037037" r="11">
      <c r="A11" s="48"/>
      <c r="B11" s="48"/>
      <c r="C11" s="59" t="s">
        <v>210</v>
      </c>
      <c r="D11" s="60">
        <f>CONCATENATE(D9," ",E9," ",F9," ",G9," ",H9," ",I9," ",J9," ",K9,)</f>
      </c>
      <c r="E11" s="60"/>
      <c r="F11" s="60"/>
      <c r="G11" s="60"/>
      <c r="H11" s="60"/>
      <c r="I11" s="60"/>
      <c r="J11" s="60"/>
      <c r="K11" s="60"/>
      <c r="L11" s="48"/>
      <c r="M11" s="48"/>
      <c r="N11" s="48"/>
      <c r="O11" s="48"/>
      <c r="P11" s="48"/>
      <c r="Q11" s="48"/>
      <c r="R11" s="48"/>
      <c r="S11" s="48"/>
      <c r="T11" s="48"/>
    </row>
    <row customHeight="true" ht="16.296296296296294" r="12">
      <c r="A12" s="48"/>
      <c r="B12" s="48"/>
      <c r="C12" s="48"/>
      <c r="D12" s="48"/>
      <c r="E12" s="50"/>
      <c r="F12" s="50"/>
      <c r="G12" s="50"/>
      <c r="H12" s="50"/>
      <c r="I12" s="50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customHeight="true" ht="16.296296296296294" r="13">
      <c r="A13" s="48"/>
      <c r="B13" s="48"/>
      <c r="C13" s="48"/>
      <c r="D13" s="48"/>
      <c r="E13" s="61" t="s">
        <v>197</v>
      </c>
      <c r="F13" s="61"/>
      <c r="G13" s="61"/>
      <c r="H13" s="50" t="s">
        <v>211</v>
      </c>
      <c r="I13" s="50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customHeight="true" ht="16.296296296296294" r="14">
      <c r="A14" s="48"/>
      <c r="B14" s="48"/>
      <c r="C14" s="48"/>
      <c r="D14" s="48"/>
      <c r="E14" s="62" t="s">
        <v>190</v>
      </c>
      <c r="F14" s="62"/>
      <c r="G14" s="62" t="s">
        <v>191</v>
      </c>
      <c r="H14" s="50" t="s">
        <v>192</v>
      </c>
      <c r="I14" s="50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customHeight="true" ht="16.296296296296294" r="15">
      <c r="A15" s="48"/>
      <c r="B15" s="48"/>
      <c r="C15" s="48"/>
      <c r="D15" s="48"/>
      <c r="E15" s="52" t="s">
        <v>193</v>
      </c>
      <c r="F15" s="52"/>
      <c r="G15" s="53">
        <v>1</v>
      </c>
      <c r="H15" s="50" t="s">
        <v>194</v>
      </c>
      <c r="I15" s="50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</row>
    <row customHeight="true" ht="16.296296296296294" r="16">
      <c r="A16" s="48"/>
      <c r="B16" s="48"/>
      <c r="C16" s="48"/>
      <c r="D16" s="48"/>
      <c r="E16" s="52" t="s">
        <v>195</v>
      </c>
      <c r="F16" s="52"/>
      <c r="G16" s="53">
        <v>3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</row>
    <row customHeight="true" ht="16.296296296296294" r="17">
      <c r="A17" s="48"/>
      <c r="B17" s="48"/>
      <c r="C17" s="48"/>
      <c r="D17" s="48"/>
      <c r="E17" s="52" t="s">
        <v>196</v>
      </c>
      <c r="F17" s="52"/>
      <c r="G17" s="53">
        <v>5</v>
      </c>
      <c r="H17" s="50"/>
      <c r="I17" s="50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</row>
    <row customHeight="true" ht="16.296296296296294" r="18">
      <c r="A18" s="48"/>
      <c r="B18" s="48"/>
      <c r="C18" s="48"/>
      <c r="D18" s="48"/>
      <c r="E18" s="52" t="s">
        <v>197</v>
      </c>
      <c r="F18" s="52"/>
      <c r="G18" s="53">
        <v>2</v>
      </c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</row>
    <row customHeight="true" ht="34.81481481481481" r="19">
      <c r="A19" s="48"/>
      <c r="B19" s="48"/>
      <c r="C19" s="49" t="s">
        <v>212</v>
      </c>
      <c r="D19" s="49"/>
      <c r="E19" s="49"/>
      <c r="F19" s="49"/>
      <c r="G19" s="49"/>
      <c r="H19" s="49"/>
      <c r="I19" s="49"/>
      <c r="J19" s="49"/>
      <c r="K19" s="49"/>
      <c r="L19" s="48"/>
      <c r="M19" s="48"/>
      <c r="N19" s="48"/>
      <c r="O19" s="48"/>
      <c r="P19" s="48"/>
      <c r="Q19" s="48"/>
      <c r="R19" s="48"/>
      <c r="S19" s="48"/>
      <c r="T19" s="48"/>
    </row>
    <row customHeight="true" ht="32.59259259259259" r="20">
      <c r="A20" s="48"/>
      <c r="B20" s="48"/>
      <c r="C20" s="54" t="s">
        <v>201</v>
      </c>
      <c r="D20" s="55" t="s">
        <v>202</v>
      </c>
      <c r="E20" s="56"/>
      <c r="F20" s="51" t="s">
        <v>193</v>
      </c>
      <c r="G20" s="57" t="s">
        <v>203</v>
      </c>
      <c r="H20" s="51" t="s">
        <v>204</v>
      </c>
      <c r="I20" s="51" t="s">
        <v>205</v>
      </c>
      <c r="J20" s="58" t="s">
        <v>206</v>
      </c>
      <c r="K20" s="51" t="s">
        <v>207</v>
      </c>
      <c r="L20" s="48"/>
      <c r="M20" s="48"/>
      <c r="N20" s="48"/>
      <c r="O20" s="48"/>
      <c r="P20" s="48"/>
      <c r="Q20" s="48"/>
      <c r="R20" s="48"/>
      <c r="S20" s="48"/>
      <c r="T20" s="48"/>
    </row>
    <row customHeight="true" ht="16.296296296296294" r="21">
      <c r="A21" s="48"/>
      <c r="B21" s="48"/>
      <c r="C21" s="54" t="s">
        <v>208</v>
      </c>
      <c r="D21" s="51">
        <f>DEC2HEX(255,2)</f>
      </c>
      <c r="E21" s="51">
        <f>DEC2HEX(255,2)</f>
      </c>
      <c r="F21" s="51">
        <f>DEC2HEX(G15,2)</f>
      </c>
      <c r="G21" s="51">
        <f>DEC2HEX(4,2)</f>
      </c>
      <c r="H21" s="51">
        <f>DEC2HEX(G16,2)</f>
      </c>
      <c r="I21" s="51">
        <f>DEC2HEX(G17,2)</f>
      </c>
      <c r="J21" s="51">
        <f>DEC2HEX(G18,2)</f>
      </c>
      <c r="K21" s="51">
        <f>DEC2HEX(_xlfn.BITXOR(_xlfn.BITAND(SUM(F22+G22+H22+I22+J22),255),255),2)</f>
      </c>
      <c r="L21" s="48"/>
      <c r="M21" s="48"/>
      <c r="N21" s="48"/>
      <c r="O21" s="48"/>
      <c r="P21" s="48"/>
      <c r="Q21" s="48"/>
      <c r="R21" s="48"/>
      <c r="S21" s="48"/>
      <c r="T21" s="48"/>
    </row>
    <row customHeight="true" ht="16.296296296296294" r="22">
      <c r="A22" s="48"/>
      <c r="B22" s="48"/>
      <c r="C22" s="51" t="s">
        <v>209</v>
      </c>
      <c r="D22" s="51">
        <f>HEX2DEC(D21)</f>
      </c>
      <c r="E22" s="51">
        <f>HEX2DEC(E21)</f>
      </c>
      <c r="F22" s="51">
        <f>HEX2DEC(F21)</f>
      </c>
      <c r="G22" s="51">
        <f>HEX2DEC(G21)</f>
      </c>
      <c r="H22" s="51">
        <f>HEX2DEC(H21)</f>
      </c>
      <c r="I22" s="51">
        <f>HEX2DEC(I21)</f>
      </c>
      <c r="J22" s="51">
        <f>HEX2DEC(J21)</f>
      </c>
      <c r="K22" s="51">
        <f>HEX2DEC(K21)</f>
      </c>
      <c r="L22" s="48"/>
      <c r="M22" s="48"/>
      <c r="N22" s="48"/>
      <c r="O22" s="48"/>
      <c r="P22" s="48"/>
      <c r="Q22" s="48"/>
      <c r="R22" s="48"/>
      <c r="S22" s="48"/>
      <c r="T22" s="48"/>
    </row>
    <row customHeight="true" ht="53.33333333333333" r="23">
      <c r="A23" s="48"/>
      <c r="B23" s="48"/>
      <c r="C23" s="59" t="s">
        <v>210</v>
      </c>
      <c r="D23" s="60">
        <f>CONCATENATE(D21," ",E21," ",F21," ",G21," ",H21," ",I21," ",J21," ",K21,)</f>
      </c>
      <c r="E23" s="60"/>
      <c r="F23" s="60"/>
      <c r="G23" s="60"/>
      <c r="H23" s="60"/>
      <c r="I23" s="60"/>
      <c r="J23" s="60"/>
      <c r="K23" s="60"/>
      <c r="L23" s="48"/>
      <c r="M23" s="48"/>
      <c r="N23" s="48"/>
      <c r="O23" s="48"/>
      <c r="P23" s="48"/>
      <c r="Q23" s="48"/>
      <c r="R23" s="48"/>
      <c r="S23" s="48"/>
      <c r="T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</row>
    <row customHeight="true" ht="16.296296296296294" r="25">
      <c r="A25" s="48"/>
      <c r="B25" s="48"/>
      <c r="C25" s="48"/>
      <c r="D25" s="48"/>
      <c r="E25" s="49" t="s">
        <v>213</v>
      </c>
      <c r="F25" s="49"/>
      <c r="G25" s="49"/>
      <c r="H25" s="50" t="s">
        <v>189</v>
      </c>
      <c r="I25" s="50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customHeight="true" ht="16.296296296296294" r="26">
      <c r="A26" s="48"/>
      <c r="B26" s="48"/>
      <c r="C26" s="48"/>
      <c r="D26" s="48"/>
      <c r="E26" s="51" t="s">
        <v>190</v>
      </c>
      <c r="F26" s="51"/>
      <c r="G26" s="51" t="s">
        <v>191</v>
      </c>
      <c r="H26" s="50" t="s">
        <v>192</v>
      </c>
      <c r="I26" s="50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customHeight="true" ht="16.296296296296294" r="27">
      <c r="A27" s="48"/>
      <c r="B27" s="48"/>
      <c r="C27" s="48"/>
      <c r="D27" s="48"/>
      <c r="E27" s="52" t="s">
        <v>193</v>
      </c>
      <c r="F27" s="52"/>
      <c r="G27" s="53">
        <v>1</v>
      </c>
      <c r="H27" s="50" t="s">
        <v>194</v>
      </c>
      <c r="I27" s="50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</row>
    <row customHeight="true" ht="16.296296296296294" r="28">
      <c r="A28" s="48"/>
      <c r="B28" s="48"/>
      <c r="C28" s="48"/>
      <c r="D28" s="48"/>
      <c r="E28" s="52" t="s">
        <v>195</v>
      </c>
      <c r="F28" s="52"/>
      <c r="G28" s="53">
        <v>3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</row>
    <row customHeight="true" ht="16.296296296296294" r="29">
      <c r="A29" s="48"/>
      <c r="B29" s="48"/>
      <c r="C29" s="48"/>
      <c r="D29" s="48"/>
      <c r="E29" s="52" t="s">
        <v>196</v>
      </c>
      <c r="F29" s="52"/>
      <c r="G29" s="53">
        <v>19</v>
      </c>
      <c r="H29" s="50"/>
      <c r="I29" s="50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  <row customHeight="true" ht="16.296296296296294" r="30">
      <c r="A30" s="48"/>
      <c r="B30" s="48"/>
      <c r="C30" s="48"/>
      <c r="D30" s="48"/>
      <c r="E30" s="52" t="s">
        <v>214</v>
      </c>
      <c r="F30" s="52"/>
      <c r="G30" s="53">
        <v>32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</row>
    <row customHeight="true" ht="34.81481481481481" r="31">
      <c r="A31" s="48"/>
      <c r="B31" s="48"/>
      <c r="C31" s="49" t="s">
        <v>213</v>
      </c>
      <c r="D31" s="49"/>
      <c r="E31" s="49"/>
      <c r="F31" s="49"/>
      <c r="G31" s="49"/>
      <c r="H31" s="49"/>
      <c r="I31" s="49"/>
      <c r="J31" s="49"/>
      <c r="K31" s="49"/>
      <c r="L31" s="48"/>
      <c r="M31" s="48"/>
      <c r="N31" s="48"/>
      <c r="O31" s="48"/>
      <c r="P31" s="48"/>
      <c r="Q31" s="48"/>
      <c r="R31" s="48"/>
      <c r="S31" s="48"/>
      <c r="T31" s="48"/>
    </row>
    <row customHeight="true" ht="32.59259259259259" r="32">
      <c r="A32" s="48"/>
      <c r="B32" s="48"/>
      <c r="C32" s="54" t="s">
        <v>201</v>
      </c>
      <c r="D32" s="55" t="s">
        <v>202</v>
      </c>
      <c r="E32" s="56"/>
      <c r="F32" s="51" t="s">
        <v>193</v>
      </c>
      <c r="G32" s="57" t="s">
        <v>203</v>
      </c>
      <c r="H32" s="51" t="s">
        <v>204</v>
      </c>
      <c r="I32" s="51" t="s">
        <v>205</v>
      </c>
      <c r="J32" s="58" t="s">
        <v>215</v>
      </c>
      <c r="K32" s="51" t="s">
        <v>207</v>
      </c>
      <c r="L32" s="48"/>
      <c r="M32" s="48"/>
      <c r="N32" s="48"/>
      <c r="O32" s="48"/>
      <c r="P32" s="48"/>
      <c r="Q32" s="48"/>
      <c r="R32" s="48"/>
      <c r="S32" s="48"/>
      <c r="T32" s="48"/>
    </row>
    <row customHeight="true" ht="16.296296296296294" r="33">
      <c r="A33" s="48"/>
      <c r="B33" s="48"/>
      <c r="C33" s="54" t="s">
        <v>208</v>
      </c>
      <c r="D33" s="51">
        <f>DEC2HEX(255,2)</f>
      </c>
      <c r="E33" s="51">
        <f>DEC2HEX(255,2)</f>
      </c>
      <c r="F33" s="51">
        <f>DEC2HEX(G27,2)</f>
      </c>
      <c r="G33" s="51">
        <f>DEC2HEX(4,2)</f>
      </c>
      <c r="H33" s="51">
        <f>DEC2HEX(G28,2)</f>
      </c>
      <c r="I33" s="51">
        <f>DEC2HEX(G29,2)</f>
      </c>
      <c r="J33" s="51">
        <f>DEC2HEX(G30,2)</f>
      </c>
      <c r="K33" s="51">
        <f>DEC2HEX(_xlfn.BITXOR(_xlfn.BITAND(SUM(F34+G34+H34+I34+J34),255),255),2)</f>
      </c>
      <c r="L33" s="48"/>
      <c r="M33" s="48"/>
      <c r="N33" s="48"/>
      <c r="O33" s="48"/>
      <c r="P33" s="48"/>
      <c r="Q33" s="48"/>
      <c r="R33" s="48"/>
      <c r="S33" s="48"/>
      <c r="T33" s="48"/>
    </row>
    <row customHeight="true" ht="16.296296296296294" r="34">
      <c r="A34" s="48"/>
      <c r="B34" s="48"/>
      <c r="C34" s="51" t="s">
        <v>209</v>
      </c>
      <c r="D34" s="51">
        <f>HEX2DEC(D33)</f>
      </c>
      <c r="E34" s="51">
        <f>HEX2DEC(E33)</f>
      </c>
      <c r="F34" s="51">
        <f>HEX2DEC(F33)</f>
      </c>
      <c r="G34" s="51">
        <f>HEX2DEC(G33)</f>
      </c>
      <c r="H34" s="51">
        <f>HEX2DEC(H33)</f>
      </c>
      <c r="I34" s="51">
        <f>HEX2DEC(I33)</f>
      </c>
      <c r="J34" s="51">
        <f>HEX2DEC(J33)</f>
      </c>
      <c r="K34" s="51">
        <f>HEX2DEC(K33)</f>
      </c>
      <c r="L34" s="48"/>
      <c r="M34" s="48"/>
      <c r="N34" s="48"/>
      <c r="O34" s="48"/>
      <c r="P34" s="48"/>
      <c r="Q34" s="48"/>
      <c r="R34" s="48"/>
      <c r="S34" s="48"/>
      <c r="T34" s="48"/>
    </row>
    <row customHeight="true" ht="43.7037037037037" r="35">
      <c r="A35" s="48"/>
      <c r="B35" s="48"/>
      <c r="C35" s="59" t="s">
        <v>210</v>
      </c>
      <c r="D35" s="60">
        <f>CONCATENATE(D33," ",E33," ",F33," ",G33," ",H33," ",I33," ",J33," ",K33,)</f>
      </c>
      <c r="E35" s="60"/>
      <c r="F35" s="60"/>
      <c r="G35" s="60"/>
      <c r="H35" s="60"/>
      <c r="I35" s="60"/>
      <c r="J35" s="60"/>
      <c r="K35" s="60"/>
      <c r="L35" s="48"/>
      <c r="M35" s="48"/>
      <c r="N35" s="48"/>
      <c r="O35" s="48"/>
      <c r="P35" s="48"/>
      <c r="Q35" s="48"/>
      <c r="R35" s="48"/>
      <c r="S35" s="48"/>
      <c r="T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</row>
    <row customHeight="true" ht="23.703703703703702" r="39">
      <c r="A39" s="48"/>
      <c r="B39" s="48"/>
      <c r="C39" s="48"/>
      <c r="D39" s="48"/>
      <c r="E39" s="49" t="s">
        <v>216</v>
      </c>
      <c r="F39" s="49"/>
      <c r="G39" s="49"/>
      <c r="H39" s="50" t="s">
        <v>189</v>
      </c>
      <c r="I39" s="50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</row>
    <row customHeight="true" ht="16.296296296296294" r="40">
      <c r="A40" s="48"/>
      <c r="B40" s="48"/>
      <c r="C40" s="48"/>
      <c r="D40" s="48"/>
      <c r="E40" s="51" t="s">
        <v>190</v>
      </c>
      <c r="F40" s="51"/>
      <c r="G40" s="51" t="s">
        <v>191</v>
      </c>
      <c r="H40" s="63" t="s">
        <v>192</v>
      </c>
      <c r="I40" s="50"/>
      <c r="J40" s="50"/>
      <c r="K40" s="48"/>
      <c r="L40" s="48"/>
      <c r="M40" s="48"/>
      <c r="N40" s="48"/>
      <c r="O40" s="48"/>
      <c r="P40" s="48"/>
      <c r="Q40" s="48"/>
      <c r="R40" s="48"/>
      <c r="S40" s="48"/>
      <c r="T40" s="48"/>
    </row>
    <row customHeight="true" ht="16.296296296296294" r="41">
      <c r="A41" s="48"/>
      <c r="B41" s="48"/>
      <c r="C41" s="48"/>
      <c r="D41" s="48"/>
      <c r="E41" s="52" t="s">
        <v>193</v>
      </c>
      <c r="F41" s="52"/>
      <c r="G41" s="53">
        <v>253</v>
      </c>
      <c r="H41" s="50" t="s">
        <v>194</v>
      </c>
      <c r="I41" s="50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</row>
    <row customHeight="true" ht="16.296296296296294" r="42">
      <c r="A42" s="48"/>
      <c r="B42" s="48"/>
      <c r="C42" s="48"/>
      <c r="D42" s="48"/>
      <c r="E42" s="52" t="s">
        <v>195</v>
      </c>
      <c r="F42" s="52"/>
      <c r="G42" s="53">
        <v>2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</row>
    <row customHeight="true" ht="16.296296296296294" r="43">
      <c r="A43" s="48"/>
      <c r="B43" s="48"/>
      <c r="C43" s="48"/>
      <c r="D43" s="48"/>
      <c r="E43" s="52" t="s">
        <v>196</v>
      </c>
      <c r="F43" s="52"/>
      <c r="G43" s="53">
        <v>40</v>
      </c>
      <c r="H43" s="50" t="s">
        <v>217</v>
      </c>
      <c r="I43" s="50" t="s">
        <v>218</v>
      </c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</row>
    <row customHeight="true" ht="16.296296296296294" r="44">
      <c r="A44" s="48"/>
      <c r="B44" s="48"/>
      <c r="C44" s="48"/>
      <c r="D44" s="48"/>
      <c r="E44" s="52" t="s">
        <v>216</v>
      </c>
      <c r="F44" s="52"/>
      <c r="G44" s="53">
        <v>0</v>
      </c>
      <c r="H44" s="50">
        <v>1</v>
      </c>
      <c r="I44" s="50">
        <v>0</v>
      </c>
      <c r="J44" s="50"/>
      <c r="K44" s="48"/>
      <c r="L44" s="48"/>
      <c r="M44" s="48"/>
      <c r="N44" s="48"/>
      <c r="O44" s="48"/>
      <c r="P44" s="48"/>
      <c r="Q44" s="48"/>
      <c r="R44" s="48"/>
      <c r="S44" s="48"/>
      <c r="T44" s="48"/>
    </row>
    <row customHeight="true" ht="34.81481481481481" r="45">
      <c r="A45" s="48"/>
      <c r="B45" s="48"/>
      <c r="C45" s="49" t="s">
        <v>219</v>
      </c>
      <c r="D45" s="49"/>
      <c r="E45" s="49"/>
      <c r="F45" s="49"/>
      <c r="G45" s="49"/>
      <c r="H45" s="49"/>
      <c r="I45" s="49"/>
      <c r="J45" s="49"/>
      <c r="K45" s="49"/>
      <c r="L45" s="48"/>
      <c r="M45" s="48"/>
      <c r="N45" s="48"/>
      <c r="O45" s="48"/>
      <c r="P45" s="48"/>
      <c r="Q45" s="48"/>
      <c r="R45" s="48"/>
      <c r="S45" s="48"/>
      <c r="T45" s="48"/>
    </row>
    <row customHeight="true" ht="32.59259259259259" r="46">
      <c r="A46" s="48"/>
      <c r="B46" s="48"/>
      <c r="C46" s="54" t="s">
        <v>201</v>
      </c>
      <c r="D46" s="55" t="s">
        <v>202</v>
      </c>
      <c r="E46" s="56"/>
      <c r="F46" s="51" t="s">
        <v>193</v>
      </c>
      <c r="G46" s="57" t="s">
        <v>203</v>
      </c>
      <c r="H46" s="51" t="s">
        <v>204</v>
      </c>
      <c r="I46" s="51" t="s">
        <v>205</v>
      </c>
      <c r="J46" s="58" t="s">
        <v>220</v>
      </c>
      <c r="K46" s="51" t="s">
        <v>207</v>
      </c>
      <c r="L46" s="48"/>
      <c r="M46" s="48"/>
      <c r="N46" s="48"/>
      <c r="O46" s="48"/>
      <c r="P46" s="48"/>
      <c r="Q46" s="48"/>
      <c r="R46" s="48"/>
      <c r="S46" s="48"/>
      <c r="T46" s="48"/>
    </row>
    <row customHeight="true" ht="16.296296296296294" r="47">
      <c r="A47" s="48"/>
      <c r="B47" s="48"/>
      <c r="C47" s="54" t="s">
        <v>208</v>
      </c>
      <c r="D47" s="51">
        <f>DEC2HEX(255,2)</f>
      </c>
      <c r="E47" s="51">
        <f>DEC2HEX(255,2)</f>
      </c>
      <c r="F47" s="51">
        <f>DEC2HEX(G41,2)</f>
      </c>
      <c r="G47" s="51">
        <f>DEC2HEX(4,2)</f>
      </c>
      <c r="H47" s="51">
        <f>DEC2HEX(G42,2)</f>
      </c>
      <c r="I47" s="51">
        <f>DEC2HEX(G43,2)</f>
      </c>
      <c r="J47" s="51">
        <f>DEC2HEX(G44,2)</f>
      </c>
      <c r="K47" s="51">
        <f>DEC2HEX(_xlfn.BITXOR(_xlfn.BITAND(SUM(F48+G48+H48+I48+J48),255),255),2)</f>
      </c>
      <c r="L47" s="48"/>
      <c r="M47" s="48"/>
      <c r="N47" s="48"/>
      <c r="O47" s="48"/>
      <c r="P47" s="48"/>
      <c r="Q47" s="48"/>
      <c r="R47" s="48"/>
      <c r="S47" s="48"/>
      <c r="T47" s="48"/>
    </row>
    <row customHeight="true" ht="16.296296296296294" r="48">
      <c r="A48" s="48"/>
      <c r="B48" s="48"/>
      <c r="C48" s="51" t="s">
        <v>209</v>
      </c>
      <c r="D48" s="51">
        <f>HEX2DEC(D47)</f>
      </c>
      <c r="E48" s="51">
        <f>HEX2DEC(E47)</f>
      </c>
      <c r="F48" s="51">
        <f>HEX2DEC(F47)</f>
      </c>
      <c r="G48" s="51">
        <f>HEX2DEC(G47)</f>
      </c>
      <c r="H48" s="51">
        <f>HEX2DEC(H47)</f>
      </c>
      <c r="I48" s="51">
        <f>HEX2DEC(I47)</f>
      </c>
      <c r="J48" s="51">
        <f>HEX2DEC(J47)</f>
      </c>
      <c r="K48" s="51">
        <f>HEX2DEC(K47)</f>
      </c>
      <c r="L48" s="48"/>
      <c r="M48" s="48"/>
      <c r="N48" s="48"/>
      <c r="O48" s="48"/>
      <c r="P48" s="48"/>
      <c r="Q48" s="48"/>
      <c r="R48" s="48"/>
      <c r="S48" s="48"/>
      <c r="T48" s="48"/>
    </row>
    <row customHeight="true" ht="45.925925925925924" r="49">
      <c r="A49" s="48"/>
      <c r="B49" s="48"/>
      <c r="C49" s="59" t="s">
        <v>210</v>
      </c>
      <c r="D49" s="60">
        <f>CONCATENATE(D47," ",E47," ",F47," ",G47," ",H47," ",I47," ",J47," ",K47,)</f>
      </c>
      <c r="E49" s="60"/>
      <c r="F49" s="60"/>
      <c r="G49" s="60"/>
      <c r="H49" s="60"/>
      <c r="I49" s="60"/>
      <c r="J49" s="60"/>
      <c r="K49" s="60"/>
      <c r="L49" s="48"/>
      <c r="M49" s="48"/>
      <c r="N49" s="48"/>
      <c r="O49" s="48"/>
      <c r="P49" s="48"/>
      <c r="Q49" s="48"/>
      <c r="R49" s="48"/>
      <c r="S49" s="48"/>
      <c r="T49" s="48"/>
    </row>
    <row customHeight="true" ht="17.777777777777775"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customHeight="true" ht="17.777777777777775"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</row>
    <row customHeight="true" ht="16.296296296296294" r="52">
      <c r="A52" s="48"/>
      <c r="B52" s="48"/>
      <c r="C52" s="48"/>
      <c r="D52" s="48"/>
      <c r="E52" s="48"/>
      <c r="F52" s="48"/>
      <c r="G52" s="48"/>
      <c r="H52" s="50" t="s">
        <v>189</v>
      </c>
      <c r="I52" s="50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</row>
    <row customHeight="true" ht="16.296296296296294" r="53">
      <c r="A53" s="48"/>
      <c r="B53" s="48"/>
      <c r="C53" s="48"/>
      <c r="D53" s="48"/>
      <c r="E53" s="51" t="s">
        <v>190</v>
      </c>
      <c r="F53" s="51"/>
      <c r="G53" s="51" t="s">
        <v>191</v>
      </c>
      <c r="H53" s="63" t="s">
        <v>192</v>
      </c>
      <c r="I53" s="63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</row>
    <row customHeight="true" ht="16.296296296296294" r="54">
      <c r="A54" s="48"/>
      <c r="B54" s="48"/>
      <c r="C54" s="48"/>
      <c r="D54" s="48"/>
      <c r="E54" s="52" t="s">
        <v>193</v>
      </c>
      <c r="F54" s="52"/>
      <c r="G54" s="53">
        <v>2</v>
      </c>
      <c r="H54" s="50" t="s">
        <v>194</v>
      </c>
      <c r="I54" s="50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</row>
    <row customHeight="true" ht="16.296296296296294" r="55">
      <c r="A55" s="48"/>
      <c r="B55" s="48"/>
      <c r="C55" s="48"/>
      <c r="D55" s="48"/>
      <c r="E55" s="52" t="s">
        <v>195</v>
      </c>
      <c r="F55" s="52"/>
      <c r="G55" s="53">
        <v>3</v>
      </c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</row>
    <row customHeight="true" ht="15.555555555555555" r="56">
      <c r="A56" s="48"/>
      <c r="B56" s="48"/>
      <c r="C56" s="48"/>
      <c r="D56" s="48"/>
      <c r="E56" s="52" t="s">
        <v>221</v>
      </c>
      <c r="F56" s="52"/>
      <c r="G56" s="53">
        <v>1000</v>
      </c>
      <c r="H56" s="50" t="s">
        <v>222</v>
      </c>
      <c r="I56" s="50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</row>
    <row customHeight="true" ht="15.555555555555555" r="57">
      <c r="A57" s="48"/>
      <c r="B57" s="48"/>
      <c r="C57" s="48"/>
      <c r="D57" s="48"/>
      <c r="E57" s="52" t="s">
        <v>223</v>
      </c>
      <c r="F57" s="52"/>
      <c r="G57" s="53">
        <v>0</v>
      </c>
      <c r="H57" s="50" t="s">
        <v>224</v>
      </c>
      <c r="I57" s="50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</row>
    <row customHeight="true" ht="15.555555555555555" r="58">
      <c r="A58" s="48"/>
      <c r="B58" s="48"/>
      <c r="C58" s="48"/>
      <c r="D58" s="48"/>
      <c r="E58" s="52" t="s">
        <v>225</v>
      </c>
      <c r="F58" s="52"/>
      <c r="G58" s="53">
        <v>0</v>
      </c>
      <c r="H58" s="50" t="s">
        <v>226</v>
      </c>
      <c r="I58" s="50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</row>
    <row customHeight="true" ht="15.555555555555555"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</row>
    <row customHeight="true" ht="32.59259259259259" r="61">
      <c r="A61" s="48"/>
      <c r="B61" s="48"/>
      <c r="C61" s="64" t="s">
        <v>227</v>
      </c>
      <c r="D61" s="55" t="s">
        <v>202</v>
      </c>
      <c r="E61" s="56"/>
      <c r="F61" s="51" t="s">
        <v>193</v>
      </c>
      <c r="G61" s="57" t="s">
        <v>203</v>
      </c>
      <c r="H61" s="51" t="s">
        <v>204</v>
      </c>
      <c r="I61" s="51" t="s">
        <v>205</v>
      </c>
      <c r="J61" s="57" t="s">
        <v>228</v>
      </c>
      <c r="K61" s="57" t="s">
        <v>229</v>
      </c>
      <c r="L61" s="60" t="s">
        <v>230</v>
      </c>
      <c r="M61" s="60" t="s">
        <v>231</v>
      </c>
      <c r="N61" s="60" t="s">
        <v>232</v>
      </c>
      <c r="O61" s="60" t="s">
        <v>233</v>
      </c>
      <c r="P61" s="51" t="s">
        <v>207</v>
      </c>
      <c r="Q61" s="48"/>
      <c r="R61" s="48"/>
      <c r="S61" s="48"/>
      <c r="T61" s="48"/>
    </row>
    <row customHeight="true" ht="16.296296296296294" r="62">
      <c r="A62" s="48"/>
      <c r="B62" s="48"/>
      <c r="C62" s="54" t="s">
        <v>208</v>
      </c>
      <c r="D62" s="51">
        <f>DEC2HEX(255,2)</f>
      </c>
      <c r="E62" s="51">
        <f>DEC2HEX(255,2)</f>
      </c>
      <c r="F62" s="51">
        <f>DEC2HEX(G54,2)</f>
      </c>
      <c r="G62" s="51">
        <f>DEC2HEX(9,2)</f>
      </c>
      <c r="H62" s="51">
        <f>DEC2HEX(G55,2)</f>
      </c>
      <c r="I62" s="51">
        <f>DEC2HEX(42,2)</f>
      </c>
      <c r="J62" s="51">
        <f>DEC2HEX(_xlfn.BITAND(G56,255),2)</f>
      </c>
      <c r="K62" s="51">
        <f>DEC2HEX(_xlfn.BITRSHIFT(G56,8),2)</f>
      </c>
      <c r="L62" s="51">
        <f>DEC2HEX(_xlfn.BITAND(G57,255),2)</f>
      </c>
      <c r="M62" s="51">
        <f>DEC2HEX(_xlfn.BITRSHIFT(G57,8),2)</f>
      </c>
      <c r="N62" s="51">
        <f>DEC2HEX(_xlfn.BITAND(G58,255),2)</f>
      </c>
      <c r="O62" s="51">
        <f>DEC2HEX(_xlfn.BITRSHIFT(G58,8),2)</f>
      </c>
      <c r="P62" s="51">
        <f>DEC2HEX(_xlfn.BITXOR(_xlfn.BITAND(SUM(F63+G63+H63+I63+K63+J63+M63+L63+O63+N63),255),255),2)</f>
      </c>
      <c r="Q62" s="48"/>
      <c r="R62" s="48"/>
      <c r="S62" s="48"/>
      <c r="T62" s="48"/>
    </row>
    <row customHeight="true" ht="16.296296296296294" r="63">
      <c r="A63" s="48"/>
      <c r="B63" s="48"/>
      <c r="C63" s="51" t="s">
        <v>209</v>
      </c>
      <c r="D63" s="51">
        <f>HEX2DEC(D62)</f>
      </c>
      <c r="E63" s="51">
        <f>HEX2DEC(E62)</f>
      </c>
      <c r="F63" s="51">
        <f>HEX2DEC(F62)</f>
      </c>
      <c r="G63" s="51">
        <f>HEX2DEC(G62)</f>
      </c>
      <c r="H63" s="51">
        <f>HEX2DEC(H62)</f>
      </c>
      <c r="I63" s="51">
        <f>HEX2DEC(I62)</f>
      </c>
      <c r="J63" s="51">
        <f>HEX2DEC(J62)</f>
      </c>
      <c r="K63" s="51">
        <f>HEX2DEC(K62)</f>
      </c>
      <c r="L63" s="51">
        <f>HEX2DEC(L62)</f>
      </c>
      <c r="M63" s="51">
        <f>HEX2DEC(M62)</f>
      </c>
      <c r="N63" s="51">
        <f>HEX2DEC(N62)</f>
      </c>
      <c r="O63" s="51">
        <f>HEX2DEC(O62)</f>
      </c>
      <c r="P63" s="51">
        <f>HEX2DEC(P62)</f>
      </c>
      <c r="Q63" s="48"/>
      <c r="R63" s="48"/>
      <c r="S63" s="48"/>
      <c r="T63" s="48"/>
    </row>
    <row customHeight="true" ht="48.148148148148145" r="64">
      <c r="A64" s="48"/>
      <c r="B64" s="48"/>
      <c r="C64" s="59" t="s">
        <v>210</v>
      </c>
      <c r="D64" s="65">
        <f>CONCATENATE(D62," ",E62," ",F62," ",G62," ",H62," ",I62," ",J62," ",K62," ",L62," ",M62," ",N62," ",O62," ",P62)</f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48"/>
      <c r="R64" s="48"/>
      <c r="S64" s="48"/>
      <c r="T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customHeight="true" ht="16.296296296296294" r="67">
      <c r="A67" s="48"/>
      <c r="B67" s="48"/>
      <c r="C67" s="48"/>
      <c r="D67" s="48"/>
      <c r="E67" s="48"/>
      <c r="F67" s="48"/>
      <c r="G67" s="48"/>
      <c r="H67" s="50" t="s">
        <v>189</v>
      </c>
      <c r="I67" s="50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customHeight="true" ht="16.296296296296294" r="68">
      <c r="A68" s="48"/>
      <c r="B68" s="48"/>
      <c r="C68" s="48"/>
      <c r="D68" s="48"/>
      <c r="E68" s="51" t="s">
        <v>190</v>
      </c>
      <c r="F68" s="51"/>
      <c r="G68" s="51" t="s">
        <v>191</v>
      </c>
      <c r="H68" s="50" t="s">
        <v>192</v>
      </c>
      <c r="I68" s="48" t="s">
        <v>234</v>
      </c>
      <c r="J68" s="48" t="s">
        <v>235</v>
      </c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customHeight="true" ht="16.296296296296294" r="69">
      <c r="A69" s="48"/>
      <c r="B69" s="48"/>
      <c r="C69" s="48"/>
      <c r="D69" s="48"/>
      <c r="E69" s="52" t="s">
        <v>193</v>
      </c>
      <c r="F69" s="52"/>
      <c r="G69" s="53">
        <v>1</v>
      </c>
      <c r="H69" s="50" t="s">
        <v>236</v>
      </c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  <row customHeight="true" ht="16.296296296296294" r="70">
      <c r="A70" s="48"/>
      <c r="B70" s="48"/>
      <c r="C70" s="48"/>
      <c r="D70" s="48"/>
      <c r="E70" s="52" t="s">
        <v>195</v>
      </c>
      <c r="F70" s="52"/>
      <c r="G70" s="53">
        <v>3</v>
      </c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customHeight="true" ht="15.555555555555555" r="71">
      <c r="A71" s="48"/>
      <c r="B71" s="48"/>
      <c r="C71" s="48"/>
      <c r="D71" s="48"/>
      <c r="E71" s="52" t="s">
        <v>237</v>
      </c>
      <c r="F71" s="52"/>
      <c r="G71" s="53">
        <v>50</v>
      </c>
      <c r="H71" s="50" t="s">
        <v>238</v>
      </c>
      <c r="I71" s="48" t="s">
        <v>239</v>
      </c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  <row customHeight="true" ht="15.555555555555555" r="72">
      <c r="A72" s="48"/>
      <c r="B72" s="48"/>
      <c r="C72" s="48"/>
      <c r="D72" s="48"/>
      <c r="E72" s="52" t="s">
        <v>240</v>
      </c>
      <c r="F72" s="52"/>
      <c r="G72" s="53">
        <v>1000</v>
      </c>
      <c r="H72" s="50" t="s">
        <v>222</v>
      </c>
      <c r="I72" s="66">
        <v>0.088</v>
      </c>
      <c r="J72" s="48" t="s">
        <v>241</v>
      </c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customHeight="true" ht="15.555555555555555" r="73">
      <c r="A73" s="48"/>
      <c r="B73" s="48"/>
      <c r="C73" s="48"/>
      <c r="D73" s="48"/>
      <c r="E73" s="52" t="s">
        <v>242</v>
      </c>
      <c r="F73" s="52"/>
      <c r="G73" s="53">
        <v>0</v>
      </c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customHeight="true" ht="15.555555555555555" r="74">
      <c r="A74" s="48"/>
      <c r="B74" s="48"/>
      <c r="C74" s="48"/>
      <c r="D74" s="48"/>
      <c r="E74" s="52" t="s">
        <v>225</v>
      </c>
      <c r="F74" s="52"/>
      <c r="G74" s="53">
        <v>1000</v>
      </c>
      <c r="H74" s="50" t="s">
        <v>243</v>
      </c>
      <c r="I74" s="48" t="s">
        <v>244</v>
      </c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</row>
    <row customHeight="true" ht="15.555555555555555"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67" t="s">
        <v>245</v>
      </c>
      <c r="N76" s="67"/>
      <c r="O76" s="48"/>
      <c r="P76" s="48"/>
      <c r="Q76" s="48"/>
      <c r="R76" s="48"/>
      <c r="S76" s="48"/>
      <c r="T76" s="48"/>
    </row>
    <row customHeight="true" ht="32.59259259259259" r="77">
      <c r="A77" s="48"/>
      <c r="B77" s="48"/>
      <c r="C77" s="64" t="s">
        <v>227</v>
      </c>
      <c r="D77" s="55" t="s">
        <v>202</v>
      </c>
      <c r="E77" s="56"/>
      <c r="F77" s="51" t="s">
        <v>193</v>
      </c>
      <c r="G77" s="57" t="s">
        <v>203</v>
      </c>
      <c r="H77" s="51" t="s">
        <v>204</v>
      </c>
      <c r="I77" s="51" t="s">
        <v>205</v>
      </c>
      <c r="J77" s="51" t="s">
        <v>246</v>
      </c>
      <c r="K77" s="57" t="s">
        <v>228</v>
      </c>
      <c r="L77" s="57" t="s">
        <v>229</v>
      </c>
      <c r="M77" s="67" t="s">
        <v>230</v>
      </c>
      <c r="N77" s="67" t="s">
        <v>231</v>
      </c>
      <c r="O77" s="60" t="s">
        <v>232</v>
      </c>
      <c r="P77" s="60" t="s">
        <v>233</v>
      </c>
      <c r="Q77" s="51" t="s">
        <v>207</v>
      </c>
      <c r="R77" s="48"/>
      <c r="S77" s="48"/>
      <c r="T77" s="48"/>
    </row>
    <row customHeight="true" ht="16.296296296296294" r="78">
      <c r="A78" s="48"/>
      <c r="B78" s="48"/>
      <c r="C78" s="54" t="s">
        <v>208</v>
      </c>
      <c r="D78" s="51">
        <f>DEC2HEX(255,2)</f>
      </c>
      <c r="E78" s="51">
        <f>DEC2HEX(255,2)</f>
      </c>
      <c r="F78" s="51">
        <f>DEC2HEX(G69,2)</f>
      </c>
      <c r="G78" s="51">
        <f>DEC2HEX(10,2)</f>
      </c>
      <c r="H78" s="51">
        <f>DEC2HEX(G70,2)</f>
      </c>
      <c r="I78" s="51">
        <f>DEC2HEX(41,2)</f>
      </c>
      <c r="J78" s="51">
        <f>DEC2HEX(_xlfn.BITAND(G71,255),2)</f>
      </c>
      <c r="K78" s="51">
        <f>DEC2HEX(_xlfn.BITAND(G72,255),2)</f>
      </c>
      <c r="L78" s="51">
        <f>DEC2HEX(_xlfn.BITRSHIFT(G72,8),2)</f>
      </c>
      <c r="M78" s="67">
        <f>DEC2HEX(_xlfn.BITAND(G73,255),2)</f>
      </c>
      <c r="N78" s="67">
        <f>DEC2HEX(_xlfn.BITRSHIFT(G73,8),2)</f>
      </c>
      <c r="O78" s="51">
        <f>DEC2HEX(_xlfn.BITAND(G74,255),2)</f>
      </c>
      <c r="P78" s="51">
        <f>DEC2HEX(_xlfn.BITRSHIFT(G74,8),2)</f>
      </c>
      <c r="Q78" s="51">
        <f>DEC2HEX(_xlfn.BITXOR(_xlfn.BITAND(SUM(F79+G79+H79+I79+J79+L79+K79+N79+M79+P79+O79),255),255),2)</f>
      </c>
      <c r="R78" s="48"/>
      <c r="S78" s="48"/>
      <c r="T78" s="48"/>
    </row>
    <row customHeight="true" ht="16.296296296296294" r="79">
      <c r="A79" s="48"/>
      <c r="B79" s="48"/>
      <c r="C79" s="51" t="s">
        <v>209</v>
      </c>
      <c r="D79" s="51">
        <f>HEX2DEC(D78)</f>
      </c>
      <c r="E79" s="51">
        <f>HEX2DEC(E78)</f>
      </c>
      <c r="F79" s="51">
        <f>HEX2DEC(F78)</f>
      </c>
      <c r="G79" s="51">
        <f>HEX2DEC(G78)</f>
      </c>
      <c r="H79" s="51">
        <f>HEX2DEC(H78)</f>
      </c>
      <c r="I79" s="51">
        <f>HEX2DEC(I78)</f>
      </c>
      <c r="J79" s="51">
        <f>HEX2DEC(J78)</f>
      </c>
      <c r="K79" s="51">
        <f>HEX2DEC(K78)</f>
      </c>
      <c r="L79" s="51">
        <f>HEX2DEC(L78)</f>
      </c>
      <c r="M79" s="67">
        <f>HEX2DEC(M78)</f>
      </c>
      <c r="N79" s="67">
        <f>HEX2DEC(N78)</f>
      </c>
      <c r="O79" s="51">
        <f>HEX2DEC(O78)</f>
      </c>
      <c r="P79" s="51">
        <f>HEX2DEC(P78)</f>
      </c>
      <c r="Q79" s="51">
        <f>HEX2DEC(Q78)</f>
      </c>
      <c r="R79" s="48"/>
      <c r="S79" s="48"/>
      <c r="T79" s="48"/>
    </row>
    <row customHeight="true" ht="48.148148148148145" r="80">
      <c r="A80" s="48"/>
      <c r="B80" s="48"/>
      <c r="C80" s="59" t="s">
        <v>210</v>
      </c>
      <c r="D80" s="68">
        <f>CONCATENATE(D78," ",E78," ",F78," ",G78," ",H78," ",I78," ",J78," ",K78," ",L78," ",M78," ",N78," ",O78," ",P78," ",Q78)</f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70"/>
      <c r="Q80" s="48"/>
      <c r="R80" s="48"/>
      <c r="S80" s="48"/>
      <c r="T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</row>
    <row customHeight="true" ht="16.296296296296294" r="85">
      <c r="A85" s="48"/>
      <c r="B85" s="48"/>
      <c r="C85" s="48"/>
      <c r="D85" s="48"/>
      <c r="E85" s="49" t="s">
        <v>247</v>
      </c>
      <c r="F85" s="49"/>
      <c r="G85" s="49"/>
      <c r="H85" s="50" t="s">
        <v>189</v>
      </c>
      <c r="I85" s="50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</row>
    <row customHeight="true" ht="16.296296296296294" r="86">
      <c r="A86" s="48"/>
      <c r="B86" s="48"/>
      <c r="C86" s="48"/>
      <c r="D86" s="48"/>
      <c r="E86" s="51" t="s">
        <v>190</v>
      </c>
      <c r="F86" s="51"/>
      <c r="G86" s="51" t="s">
        <v>191</v>
      </c>
      <c r="H86" s="50" t="s">
        <v>192</v>
      </c>
      <c r="I86" s="50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</row>
    <row customHeight="true" ht="16.296296296296294" r="87">
      <c r="A87" s="48"/>
      <c r="B87" s="48"/>
      <c r="C87" s="48"/>
      <c r="D87" s="48"/>
      <c r="E87" s="52" t="s">
        <v>193</v>
      </c>
      <c r="F87" s="52"/>
      <c r="G87" s="53">
        <v>1</v>
      </c>
      <c r="H87" s="50" t="s">
        <v>194</v>
      </c>
      <c r="I87" s="50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</row>
    <row customHeight="true" ht="16.296296296296294" r="88">
      <c r="A88" s="48"/>
      <c r="B88" s="48"/>
      <c r="C88" s="48"/>
      <c r="D88" s="48"/>
      <c r="E88" s="52" t="s">
        <v>248</v>
      </c>
      <c r="F88" s="52"/>
      <c r="G88" s="53">
        <v>2</v>
      </c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</row>
    <row customHeight="true" ht="16.296296296296294" r="89">
      <c r="A89" s="48"/>
      <c r="B89" s="48"/>
      <c r="C89" s="48"/>
      <c r="D89" s="48"/>
      <c r="E89" s="52" t="s">
        <v>196</v>
      </c>
      <c r="F89" s="52"/>
      <c r="G89" s="53">
        <v>56</v>
      </c>
      <c r="H89" s="50"/>
      <c r="I89" s="50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</row>
    <row customHeight="true" ht="16.296296296296294" r="90">
      <c r="A90" s="48"/>
      <c r="B90" s="48"/>
      <c r="C90" s="48"/>
      <c r="D90" s="48"/>
      <c r="E90" s="52" t="s">
        <v>249</v>
      </c>
      <c r="F90" s="52"/>
      <c r="G90" s="53">
        <v>2</v>
      </c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</row>
    <row customHeight="true" ht="34.81481481481481" r="91">
      <c r="A91" s="48"/>
      <c r="B91" s="48"/>
      <c r="C91" s="49" t="s">
        <v>247</v>
      </c>
      <c r="D91" s="49"/>
      <c r="E91" s="49"/>
      <c r="F91" s="49"/>
      <c r="G91" s="49"/>
      <c r="H91" s="49"/>
      <c r="I91" s="49"/>
      <c r="J91" s="49"/>
      <c r="K91" s="49"/>
      <c r="L91" s="48"/>
      <c r="M91" s="48"/>
      <c r="N91" s="48"/>
      <c r="O91" s="48"/>
      <c r="P91" s="48"/>
      <c r="Q91" s="48"/>
      <c r="R91" s="48"/>
      <c r="S91" s="48"/>
      <c r="T91" s="48"/>
    </row>
    <row customHeight="true" ht="32.59259259259259" r="92">
      <c r="A92" s="48"/>
      <c r="B92" s="48"/>
      <c r="C92" s="71" t="s">
        <v>227</v>
      </c>
      <c r="D92" s="55" t="s">
        <v>202</v>
      </c>
      <c r="E92" s="56"/>
      <c r="F92" s="51" t="s">
        <v>193</v>
      </c>
      <c r="G92" s="57" t="s">
        <v>203</v>
      </c>
      <c r="H92" s="51" t="s">
        <v>204</v>
      </c>
      <c r="I92" s="51" t="s">
        <v>205</v>
      </c>
      <c r="J92" s="67" t="s">
        <v>249</v>
      </c>
      <c r="K92" s="51" t="s">
        <v>207</v>
      </c>
      <c r="L92" s="48"/>
      <c r="M92" s="48"/>
      <c r="N92" s="48"/>
      <c r="O92" s="48"/>
      <c r="P92" s="48"/>
      <c r="Q92" s="48"/>
      <c r="R92" s="48"/>
      <c r="S92" s="48"/>
      <c r="T92" s="48"/>
    </row>
    <row customHeight="true" ht="16.296296296296294" r="93">
      <c r="A93" s="48"/>
      <c r="B93" s="48"/>
      <c r="C93" s="54" t="s">
        <v>208</v>
      </c>
      <c r="D93" s="51">
        <f>DEC2HEX(255,2)</f>
      </c>
      <c r="E93" s="51">
        <f>DEC2HEX(255,2)</f>
      </c>
      <c r="F93" s="51">
        <f>DEC2HEX(G87,2)</f>
      </c>
      <c r="G93" s="51">
        <f>DEC2HEX(4,2)</f>
      </c>
      <c r="H93" s="51">
        <f>DEC2HEX(G88,2)</f>
      </c>
      <c r="I93" s="51">
        <f>DEC2HEX(G89,2)</f>
      </c>
      <c r="J93" s="51">
        <f>DEC2HEX(G90,2)</f>
      </c>
      <c r="K93" s="51">
        <f>DEC2HEX(_xlfn.BITXOR(_xlfn.BITAND(SUM(F94+G94+H94+I94+J94),255),255),2)</f>
      </c>
      <c r="L93" s="48"/>
      <c r="M93" s="48"/>
      <c r="N93" s="48"/>
      <c r="O93" s="48"/>
      <c r="P93" s="48"/>
      <c r="Q93" s="48"/>
      <c r="R93" s="48"/>
      <c r="S93" s="48"/>
      <c r="T93" s="48"/>
    </row>
    <row customHeight="true" ht="16.296296296296294" r="94">
      <c r="A94" s="48"/>
      <c r="B94" s="48"/>
      <c r="C94" s="51" t="s">
        <v>209</v>
      </c>
      <c r="D94" s="51">
        <f>HEX2DEC(D93)</f>
      </c>
      <c r="E94" s="51">
        <f>HEX2DEC(E93)</f>
      </c>
      <c r="F94" s="51">
        <f>HEX2DEC(F93)</f>
      </c>
      <c r="G94" s="51">
        <f>HEX2DEC(G93)</f>
      </c>
      <c r="H94" s="51">
        <f>HEX2DEC(H93)</f>
      </c>
      <c r="I94" s="51">
        <f>HEX2DEC(I93)</f>
      </c>
      <c r="J94" s="51">
        <f>HEX2DEC(J93)</f>
      </c>
      <c r="K94" s="51">
        <f>HEX2DEC(K93)</f>
      </c>
      <c r="L94" s="48"/>
      <c r="M94" s="48"/>
      <c r="N94" s="48"/>
      <c r="O94" s="48"/>
      <c r="P94" s="48"/>
      <c r="Q94" s="48"/>
      <c r="R94" s="48"/>
      <c r="S94" s="48"/>
      <c r="T94" s="48"/>
    </row>
    <row customHeight="true" ht="46.666666666666664" r="95">
      <c r="A95" s="48"/>
      <c r="B95" s="48"/>
      <c r="C95" s="59" t="s">
        <v>210</v>
      </c>
      <c r="D95" s="60">
        <f>CONCATENATE(D93," ",E93," ",F93," ",G93," ",H93," ",I93," ",J93," ",K93,)</f>
      </c>
      <c r="E95" s="60"/>
      <c r="F95" s="60"/>
      <c r="G95" s="60"/>
      <c r="H95" s="60"/>
      <c r="I95" s="60"/>
      <c r="J95" s="60"/>
      <c r="K95" s="60"/>
      <c r="L95" s="48"/>
      <c r="M95" s="48"/>
      <c r="N95" s="48"/>
      <c r="O95" s="48"/>
      <c r="P95" s="48"/>
      <c r="Q95" s="48"/>
      <c r="R95" s="48"/>
      <c r="S95" s="48"/>
      <c r="T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</row>
    <row customHeight="true" ht="16.296296296296294" r="99">
      <c r="A99" s="48"/>
      <c r="B99" s="48"/>
      <c r="C99" s="48"/>
      <c r="D99" s="48"/>
      <c r="E99" s="49" t="s">
        <v>250</v>
      </c>
      <c r="F99" s="49"/>
      <c r="G99" s="49"/>
      <c r="H99" s="50" t="s">
        <v>189</v>
      </c>
      <c r="I99" s="50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</row>
    <row customHeight="true" ht="16.296296296296294" r="100">
      <c r="A100" s="48"/>
      <c r="B100" s="48"/>
      <c r="C100" s="48"/>
      <c r="D100" s="48"/>
      <c r="E100" s="51" t="s">
        <v>190</v>
      </c>
      <c r="F100" s="51"/>
      <c r="G100" s="51" t="s">
        <v>191</v>
      </c>
      <c r="H100" s="50" t="s">
        <v>192</v>
      </c>
      <c r="I100" s="50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</row>
    <row customHeight="true" ht="16.296296296296294" r="101">
      <c r="A101" s="48"/>
      <c r="B101" s="48"/>
      <c r="C101" s="48"/>
      <c r="D101" s="48"/>
      <c r="E101" s="52" t="s">
        <v>193</v>
      </c>
      <c r="F101" s="52"/>
      <c r="G101" s="53">
        <v>1</v>
      </c>
      <c r="H101" s="50" t="s">
        <v>194</v>
      </c>
      <c r="I101" s="50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</row>
    <row customHeight="true" ht="16.296296296296294" r="102">
      <c r="A102" s="48"/>
      <c r="B102" s="48"/>
      <c r="C102" s="48"/>
      <c r="D102" s="48"/>
      <c r="E102" s="52" t="s">
        <v>250</v>
      </c>
      <c r="F102" s="52"/>
      <c r="G102" s="53">
        <v>10</v>
      </c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</row>
    <row customHeight="true" ht="34.81481481481481" r="103">
      <c r="A103" s="48"/>
      <c r="B103" s="48"/>
      <c r="C103" s="49" t="s">
        <v>251</v>
      </c>
      <c r="D103" s="49"/>
      <c r="E103" s="49"/>
      <c r="F103" s="49"/>
      <c r="G103" s="49"/>
      <c r="H103" s="49"/>
      <c r="I103" s="49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</row>
    <row customHeight="true" ht="32.59259259259259" r="104">
      <c r="A104" s="48"/>
      <c r="B104" s="48"/>
      <c r="C104" s="54" t="s">
        <v>201</v>
      </c>
      <c r="D104" s="55" t="s">
        <v>202</v>
      </c>
      <c r="E104" s="56"/>
      <c r="F104" s="51" t="s">
        <v>193</v>
      </c>
      <c r="G104" s="57" t="s">
        <v>203</v>
      </c>
      <c r="H104" s="51" t="s">
        <v>204</v>
      </c>
      <c r="I104" s="51" t="s">
        <v>207</v>
      </c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</row>
    <row customHeight="true" ht="16.296296296296294" r="105">
      <c r="A105" s="48"/>
      <c r="B105" s="48"/>
      <c r="C105" s="54" t="s">
        <v>208</v>
      </c>
      <c r="D105" s="51">
        <f>DEC2HEX(255,2)</f>
      </c>
      <c r="E105" s="51">
        <f>DEC2HEX(255,2)</f>
      </c>
      <c r="F105" s="51">
        <f>DEC2HEX(G101,2)</f>
      </c>
      <c r="G105" s="51">
        <f>DEC2HEX(2,2)</f>
      </c>
      <c r="H105" s="51">
        <f>DEC2HEX(G102,2)</f>
      </c>
      <c r="I105" s="51">
        <f>DEC2HEX(_xlfn.BITXOR(_xlfn.BITAND(SUM(F106+G106+H106),255),255),2)</f>
      </c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</row>
    <row customHeight="true" ht="16.296296296296294" r="106">
      <c r="A106" s="48"/>
      <c r="B106" s="48"/>
      <c r="C106" s="51" t="s">
        <v>209</v>
      </c>
      <c r="D106" s="51">
        <f>HEX2DEC(D105)</f>
      </c>
      <c r="E106" s="51">
        <f>HEX2DEC(E105)</f>
      </c>
      <c r="F106" s="51">
        <f>HEX2DEC(F105)</f>
      </c>
      <c r="G106" s="51">
        <f>HEX2DEC(G105)</f>
      </c>
      <c r="H106" s="51">
        <f>HEX2DEC(H105)</f>
      </c>
      <c r="I106" s="51">
        <f>HEX2DEC(I105)</f>
      </c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</row>
    <row customHeight="true" ht="46.666666666666664" r="107">
      <c r="A107" s="48"/>
      <c r="B107" s="48"/>
      <c r="C107" s="59" t="s">
        <v>210</v>
      </c>
      <c r="D107" s="60">
        <f>CONCATENATE(D105," ",E105," ",F105," ",G105," ",H105," ",I105,)</f>
      </c>
      <c r="E107" s="60"/>
      <c r="F107" s="60"/>
      <c r="G107" s="60"/>
      <c r="H107" s="60"/>
      <c r="I107" s="60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</row>
  </sheetData>
  <mergeCells>
    <mergeCell ref="E13:G13"/>
    <mergeCell ref="H13:I13"/>
    <mergeCell ref="E14:F14"/>
    <mergeCell ref="E15:F15"/>
    <mergeCell ref="E16:F16"/>
    <mergeCell ref="E17:F17"/>
    <mergeCell ref="E18:F18"/>
    <mergeCell ref="C19:K19"/>
    <mergeCell ref="D20:E20"/>
    <mergeCell ref="E25:G25"/>
    <mergeCell ref="H25:I25"/>
    <mergeCell ref="E26:F26"/>
    <mergeCell ref="E27:F27"/>
    <mergeCell ref="E28:F28"/>
    <mergeCell ref="E29:F29"/>
    <mergeCell ref="E30:F30"/>
    <mergeCell ref="C31:K31"/>
    <mergeCell ref="D32:E32"/>
    <mergeCell ref="E39:G39"/>
    <mergeCell ref="H39:I39"/>
    <mergeCell ref="E40:F40"/>
    <mergeCell ref="H40:I40"/>
    <mergeCell ref="E41:F41"/>
    <mergeCell ref="E42:F42"/>
    <mergeCell ref="E43:F43"/>
    <mergeCell ref="E44:F44"/>
    <mergeCell ref="C45:K45"/>
    <mergeCell ref="D46:E46"/>
    <mergeCell ref="H52:I52"/>
    <mergeCell ref="E53:F53"/>
    <mergeCell ref="E54:F54"/>
    <mergeCell ref="E55:F55"/>
    <mergeCell ref="E56:F56"/>
    <mergeCell ref="E57:F57"/>
    <mergeCell ref="E58:F58"/>
    <mergeCell ref="D61:E61"/>
    <mergeCell ref="D64:P64"/>
    <mergeCell ref="H67:I67"/>
    <mergeCell ref="E68:F68"/>
    <mergeCell ref="E69:F69"/>
    <mergeCell ref="E70:F70"/>
    <mergeCell ref="E71:F71"/>
    <mergeCell ref="E72:F72"/>
    <mergeCell ref="E73:F73"/>
    <mergeCell ref="E74:F74"/>
    <mergeCell ref="M76:N76"/>
    <mergeCell ref="D77:E77"/>
    <mergeCell ref="E85:G85"/>
    <mergeCell ref="H85:I85"/>
    <mergeCell ref="E86:F86"/>
    <mergeCell ref="E87:F87"/>
    <mergeCell ref="E88:F88"/>
    <mergeCell ref="E89:F89"/>
    <mergeCell ref="E90:F90"/>
    <mergeCell ref="C91:K91"/>
    <mergeCell ref="D92:E92"/>
    <mergeCell ref="E99:G99"/>
    <mergeCell ref="H99:I99"/>
    <mergeCell ref="E100:F100"/>
    <mergeCell ref="E101:F101"/>
    <mergeCell ref="E102:F102"/>
    <mergeCell ref="C103:I103"/>
    <mergeCell ref="D104:E104"/>
    <mergeCell ref="D8:E8"/>
    <mergeCell ref="C7:K7"/>
    <mergeCell ref="E6:F6"/>
    <mergeCell ref="E5:F5"/>
    <mergeCell ref="E4:F4"/>
    <mergeCell ref="E3:F3"/>
    <mergeCell ref="E2:F2"/>
    <mergeCell ref="H1:I1"/>
    <mergeCell ref="E1:G1"/>
    <mergeCell ref="H41:I41"/>
    <mergeCell ref="H53:I53"/>
    <mergeCell ref="H54:I54"/>
    <mergeCell ref="H56:I56"/>
    <mergeCell ref="H58:I58"/>
    <mergeCell ref="H57:I57"/>
    <mergeCell ref="H86:I86"/>
    <mergeCell ref="H87:I8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