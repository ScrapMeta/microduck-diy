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MD系列舵机" sheetId="2" r:id="rId5"/>
    <sheet name="Hexadecimal instruction generat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e08173ae-c077-4f45-b373-7560ad0ebb12}">
      <text>
        <r>
          <rPr>
            <b val="true"/>
            <i val="false"/>
            <strike val="false"/>
            <sz val="9"/>
            <color rgb="FF000000"/>
          </rPr>
          <t xml:space="preserve">稳定版本:
SMServo2.40-STM32-485(181114).bin(固件版本：2.43)
一、出厂参数增加移动检测最小速度(80)
二、出厂参数增加电机模式步进限制(84)
PWM步进=加速度(ACC)*4，ACC=0则默认为值出厂预设最大值，最大步进限制=步进限制参数(84)*4
三、相位第3位为速度模式位(详细参考相位说明)
速度模式位0：速度0为停止
速度模式位1：速度0为最高速度
四、EPROM存储算法优化，原算法适合频繁读写EPROM操作，算法复杂，可能存在不可预知BUG，修改后算法更加精简，适合偶尔进行读写操作应用。升级固件后需要重设参数
SMServo2.40-STM32-485(181121).bin(固件版本：2.43)
一、修正位置校正参数方向位(bit15修正为bit11)
2018-11-26 更新批量固件
SMServo2.40-STM32-485(190225).bin(固件版本：2.43)
一、相位（18），bit7作为伺服方向位(bit7伺服方向与bit0相位，配合调节)
二、扭矩开关(40)，bit7作为中位较正位，bit7=1把当前位置作为中位（2048），较正成功bit7=0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<sst xmlns="http://schemas.openxmlformats.org/spreadsheetml/2006/main" count="285" uniqueCount="285">
  <si>
    <t xml:space="preserve">  </t>
  </si>
  <si>
    <t xml:space="preserve">MD系列舵机内存表的定义</t>
  </si>
  <si>
    <t xml:space="preserve">空载转速（RPM）</t>
  </si>
  <si>
    <t xml:space="preserve">测试电压(V)</t>
  </si>
  <si>
    <t xml:space="preserve">12V</t>
  </si>
  <si>
    <t xml:space="preserve">空载转速（步/秒）</t>
  </si>
  <si>
    <t xml:space="preserve">空载电流（mA）</t>
  </si>
  <si>
    <t xml:space="preserve">最大有效角度（度）</t>
  </si>
  <si>
    <t xml:space="preserve">支持多圈和大角度控制，断电不保存圈数</t>
  </si>
  <si>
    <t xml:space="preserve">分辨率（步长）</t>
  </si>
  <si>
    <t xml:space="preserve">最小分辨角（度/步）</t>
  </si>
  <si>
    <t xml:space="preserve">电子死区（度）</t>
  </si>
  <si>
    <t xml:space="preserve">加速度 (度 / 秒²)</t>
  </si>
  <si>
    <t xml:space="preserve">内存地址</t>
  </si>
  <si>
    <t xml:space="preserve">功能</t>
  </si>
  <si>
    <t xml:space="preserve">字节数</t>
  </si>
  <si>
    <t xml:space="preserve">初始值</t>
  </si>
  <si>
    <t xml:space="preserve">存储区域</t>
  </si>
  <si>
    <t xml:space="preserve">权限</t>
  </si>
  <si>
    <t xml:space="preserve">最小值</t>
  </si>
  <si>
    <t xml:space="preserve">最大值</t>
  </si>
  <si>
    <t xml:space="preserve">单位</t>
  </si>
  <si>
    <t xml:space="preserve">数值分析</t>
  </si>
  <si>
    <t xml:space="preserve">DEC</t>
  </si>
  <si>
    <t xml:space="preserve">十六进制</t>
  </si>
  <si>
    <t xml:space="preserve">前低后高</t>
  </si>
  <si>
    <t xml:space="preserve">采用小端字节序：如果功能地址使用两个字节的数据，则低字节位于前一个地址，高字节位于后一个地址</t>
  </si>
  <si>
    <t xml:space="preserve">0</t>
  </si>
  <si>
    <t xml:space="preserve">固件主版本号</t>
  </si>
  <si>
    <t xml:space="preserve">EPROM</t>
  </si>
  <si>
    <t xml:space="preserve">读取</t>
  </si>
  <si>
    <t xml:space="preserve">--</t>
  </si>
  <si>
    <t xml:space="preserve">1</t>
  </si>
  <si>
    <t xml:space="preserve">固件子版本号</t>
  </si>
  <si>
    <t xml:space="preserve">3</t>
  </si>
  <si>
    <t xml:space="preserve">舵机主版本</t>
  </si>
  <si>
    <t xml:space="preserve">4</t>
  </si>
  <si>
    <t xml:space="preserve">舵机副版本</t>
  </si>
  <si>
    <t xml:space="preserve">0x5</t>
  </si>
  <si>
    <t xml:space="preserve">ID</t>
  </si>
  <si>
    <t xml:space="preserve">读写</t>
  </si>
  <si>
    <t xml:space="preserve">无</t>
  </si>
  <si>
    <t xml:space="preserve">总线上的唯一识别码。同一总线上不允许有重复的ID号，254 (0xfe) 是广播ID，广播不返回应答包</t>
  </si>
  <si>
    <t xml:space="preserve">0x6</t>
  </si>
  <si>
    <t xml:space="preserve">波特率</t>
  </si>
  <si>
    <t xml:space="preserve">0-11分别代表波特率如下:
1000000(0), 500000(1), 250000(2), 128000(3), 115200(4), 76800(5), 57600(6), 38400(7),1500000(8),2000000(9),3000000(10),4000000(11)</t>
  </si>
  <si>
    <t xml:space="preserve">0x7</t>
  </si>
  <si>
    <t xml:space="preserve">副ID</t>
  </si>
  <si>
    <t xml:space="preserve">副ID标识（第二标识），副ID只适用于写指令</t>
  </si>
  <si>
    <t xml:space="preserve">0x8</t>
  </si>
  <si>
    <t xml:space="preserve">响应状态级别</t>
  </si>
  <si>
    <t xml:space="preserve">0：除读取指令和Ping指令外，其他指令不返回应答包；1：所有指令均返回应答包</t>
  </si>
  <si>
    <t xml:space="preserve">0x9</t>
  </si>
  <si>
    <t xml:space="preserve">最小角度限制</t>
  </si>
  <si>
    <t xml:space="preserve">步（0.087度 ）</t>
  </si>
  <si>
    <t xml:space="preserve">设置行程最小值限制，重新使能才生效;
在进行多圈绝对位置控制时此值为0
更改相位(18)为单圈角度反馈时会将其限幅在0-4095
</t>
  </si>
  <si>
    <t xml:space="preserve">0xB</t>
  </si>
  <si>
    <t xml:space="preserve">最大角度限制</t>
  </si>
  <si>
    <t xml:space="preserve">设置行程最大值限制，重新使能才生效;
在进行多圈绝对位置控制时此值为0
更改相位(18)为单圈角度反馈会将其限幅在0-4095</t>
  </si>
  <si>
    <t xml:space="preserve">0xD</t>
  </si>
  <si>
    <t xml:space="preserve">最高温度限制</t>
  </si>
  <si>
    <t xml:space="preserve">°C</t>
  </si>
  <si>
    <t xml:space="preserve">最高工作温度限制，若设置为70，则最高温度为70℃，设置精度为1℃</t>
  </si>
  <si>
    <t xml:space="preserve">0xE</t>
  </si>
  <si>
    <t xml:space="preserve">最大输入电压</t>
  </si>
  <si>
    <t xml:space="preserve">0.1V</t>
  </si>
  <si>
    <t xml:space="preserve">如果最大输入电压设置为140，则最大工作电压限制为14.0V，设置精度为0.1V</t>
  </si>
  <si>
    <t xml:space="preserve">0xF</t>
  </si>
  <si>
    <t xml:space="preserve">最小输入电压</t>
  </si>
  <si>
    <t xml:space="preserve">如果将最小输入电压设置为60，则最小工作电压限制为6.0V，设置精度为0.1V</t>
  </si>
  <si>
    <t xml:space="preserve">0x10</t>
  </si>
  <si>
    <t xml:space="preserve">堵转检测保护电流百分比</t>
  </si>
  <si>
    <t xml:space="preserve">设置舵机的堵转检测保护电流百分比。设680 = 68%，堵转检测保护电流 = 0.68* 过流保护电流阈值(28)，</t>
  </si>
  <si>
    <t xml:space="preserve">0x12</t>
  </si>
  <si>
    <t xml:space="preserve">相位</t>
  </si>
  <si>
    <t xml:space="preserve">特殊功能字节，无特别需求不可修改,详见特殊字节位解析。目前只用到2个bit位
BIT3（8）：曲线规划参数。(0)0表示速度和加速度为0，(1)0表示速度和加速度为最大值；
BIT4（16）：角度反馈模式。(0)反馈单圈角度，(1)反馈全角度 。
BIT7 (128) : 位置反馈方向。(0)正向，(1)反向</t>
  </si>
  <si>
    <t xml:space="preserve">0x13</t>
  </si>
  <si>
    <t xml:space="preserve">卸载条件</t>
  </si>
  <si>
    <t xml:space="preserve">卸载条件。0表示关闭，1表示开启。目前只用了4个bit
BIT0（1）：电压保护
BIT1（2）：磁编码保护
BIT2（4）：过热保护
BIT3（8）：过载保护</t>
  </si>
  <si>
    <t xml:space="preserve">0x14</t>
  </si>
  <si>
    <t xml:space="preserve">LED报警状态</t>
  </si>
  <si>
    <t xml:space="preserve">报警条件：0表示关闭，1表示开启。目前只用了4个bit
BIT0（1）：电压报警
BIT1（2）：磁编码报警
BIT2（4）：过热报警
BIT3（8）：过载报警</t>
  </si>
  <si>
    <t xml:space="preserve">0x15</t>
  </si>
  <si>
    <t xml:space="preserve">位置环P比例系数</t>
  </si>
  <si>
    <t xml:space="preserve">位置控制模式下的比例系数</t>
  </si>
  <si>
    <t xml:space="preserve">0x16</t>
  </si>
  <si>
    <t xml:space="preserve">位置环D微分系数</t>
  </si>
  <si>
    <t xml:space="preserve">位置控制模式下的微分系数</t>
  </si>
  <si>
    <t xml:space="preserve">0x17</t>
  </si>
  <si>
    <t xml:space="preserve">位置环I积分系数 </t>
  </si>
  <si>
    <t xml:space="preserve">位置控制模式下的积分系数</t>
  </si>
  <si>
    <t xml:space="preserve">0x18</t>
  </si>
  <si>
    <t xml:space="preserve">最小启动力</t>
  </si>
  <si>
    <t xml:space="preserve">6.5mA</t>
  </si>
  <si>
    <t xml:space="preserve">助力模式下的最小启动力</t>
  </si>
  <si>
    <t xml:space="preserve">0x1A</t>
  </si>
  <si>
    <t xml:space="preserve">顺时针不敏感区域</t>
  </si>
  <si>
    <t xml:space="preserve">最小单位是最小分辨角</t>
  </si>
  <si>
    <t xml:space="preserve">0x1B</t>
  </si>
  <si>
    <t xml:space="preserve">逆时针不敏感区域</t>
  </si>
  <si>
    <t xml:space="preserve">0x1C</t>
  </si>
  <si>
    <t xml:space="preserve">过流保护阈值</t>
  </si>
  <si>
    <t xml:space="preserve">最大可设置电流为 500 * 6.5mA= 3250mA</t>
  </si>
  <si>
    <t xml:space="preserve">0x1F</t>
  </si>
  <si>
    <t xml:space="preserve">位置偏移</t>
  </si>
  <si>
    <t xml:space="preserve">第11位是方向位，指示正方向和负方向。其他位可以表示0-2047步的范围</t>
  </si>
  <si>
    <t xml:space="preserve">0x21</t>
  </si>
  <si>
    <t xml:space="preserve">运行模式</t>
  </si>
  <si>
    <t xml:space="preserve">0：不带电流环的位置伺服模式
1：电机恒速模式,用参数0x2E运行速度参数控制，最高位BIT15为方向位
2：电机恒流模式，用参数0x2C目标扭矩参数控制，最高位BIT15为方向位
3：电机助力模式，用参数0x18最小启动力和参数0x24摩擦力参数控制
5：带电流环的位置伺服模式
注：MDL60型号舵机面前仅支持带电流环的位置伺服模式,设置为模式0</t>
  </si>
  <si>
    <t xml:space="preserve">0x22</t>
  </si>
  <si>
    <t xml:space="preserve">电流环P比例系数</t>
  </si>
  <si>
    <t xml:space="preserve">控制电机电流环的比例系数</t>
  </si>
  <si>
    <t xml:space="preserve">0x23</t>
  </si>
  <si>
    <t xml:space="preserve">电流环I积分系数 </t>
  </si>
  <si>
    <t xml:space="preserve">控制电机电流环的积分系数</t>
  </si>
  <si>
    <t xml:space="preserve">0x24</t>
  </si>
  <si>
    <t xml:space="preserve">摩擦力补偿</t>
  </si>
  <si>
    <t xml:space="preserve">助力模式下的摩擦补偿电流</t>
  </si>
  <si>
    <t xml:space="preserve">0x25</t>
  </si>
  <si>
    <t xml:space="preserve">速度闭环P比例系数</t>
  </si>
  <si>
    <t xml:space="preserve">在电机恒速模式（模式1）下，速度环比例系数</t>
  </si>
  <si>
    <t xml:space="preserve">0x26</t>
  </si>
  <si>
    <t xml:space="preserve">过流保护时间</t>
  </si>
  <si>
    <t xml:space="preserve">10毫秒</t>
  </si>
  <si>
    <t xml:space="preserve">最大设置为254 * 10ms = 2540ms</t>
  </si>
  <si>
    <t xml:space="preserve">0x27</t>
  </si>
  <si>
    <t xml:space="preserve">速度闭环I积分系数</t>
  </si>
  <si>
    <t xml:space="preserve">在电机恒速模式（模式1）下，速度环积分系数</t>
  </si>
  <si>
    <t xml:space="preserve">0x28</t>
  </si>
  <si>
    <t xml:space="preserve">扭矩开关</t>
  </si>
  <si>
    <t xml:space="preserve">SRAM</t>
  </si>
  <si>
    <t xml:space="preserve">写入0：关闭扭矩输出；写入1：开启扭矩输出。</t>
  </si>
  <si>
    <t xml:space="preserve">0x29</t>
  </si>
  <si>
    <t xml:space="preserve">加速度</t>
  </si>
  <si>
    <t xml:space="preserve">100步/秒²</t>
  </si>
  <si>
    <t xml:space="preserve">舵机运行加/减速度。如果设置为10，速度将每秒改变1000步</t>
  </si>
  <si>
    <t xml:space="preserve">0x2A</t>
  </si>
  <si>
    <t xml:space="preserve">目标位置</t>
  </si>
  <si>
    <t xml:space="preserve">目标位置。位置控制模式下，最大对应最大有效角度，BIT15为方向位</t>
  </si>
  <si>
    <t xml:space="preserve">0x2C</t>
  </si>
  <si>
    <t xml:space="preserve">目标扭矩</t>
  </si>
  <si>
    <t xml:space="preserve">-</t>
  </si>
  <si>
    <t xml:space="preserve">力矩使能后由保护电流（28）赋值，可修改此值来控制电机最大运行扭矩的输出；BIT15为电流方向位</t>
  </si>
  <si>
    <t xml:space="preserve">0x2E</t>
  </si>
  <si>
    <t xml:space="preserve">运行速度</t>
  </si>
  <si>
    <t xml:space="preserve">控制电机最高运行速度。单位时间（每秒）内的步数，50步/秒 = 0.732 RPM（每分钟转数）</t>
  </si>
  <si>
    <t xml:space="preserve">0x30</t>
  </si>
  <si>
    <t xml:space="preserve">堵转转矩限制</t>
  </si>
  <si>
    <t xml:space="preserve">转矩限制。用户通过修改此值来控制堵转时最大扭矩的输出</t>
  </si>
  <si>
    <t xml:space="preserve">0x32</t>
  </si>
  <si>
    <t xml:space="preserve">实时位置环P 比例系数</t>
  </si>
  <si>
    <t xml:space="preserve">实时控制电机位置环的比例系数，力矩使能后由位置环P 比例系数（21）赋值</t>
  </si>
  <si>
    <t xml:space="preserve">0x33</t>
  </si>
  <si>
    <t xml:space="preserve">实时位置环D 微分系数</t>
  </si>
  <si>
    <t xml:space="preserve">实时控制电机位置环的微分系数，力矩使能后由位置环D 微分系数（22）赋值</t>
  </si>
  <si>
    <t xml:space="preserve">0x34</t>
  </si>
  <si>
    <t xml:space="preserve">实时位置环I 积分系数</t>
  </si>
  <si>
    <t xml:space="preserve">实时控制电机位置环的积分系数，力矩使能后由位置环I 积分系数（23）赋值</t>
  </si>
  <si>
    <t xml:space="preserve">0x37</t>
  </si>
  <si>
    <t xml:space="preserve">锁标志</t>
  </si>
  <si>
    <t xml:space="preserve">写0关闭写入锁，写入EPROM地址的值掉电保存
 写1打开写入锁，写入EPROM地址的值掉电不保存</t>
  </si>
  <si>
    <t xml:space="preserve">0x38</t>
  </si>
  <si>
    <t xml:space="preserve">当前位置</t>
  </si>
  <si>
    <t xml:space="preserve">只读</t>
  </si>
  <si>
    <t xml:space="preserve">在绝对位置控制模式下，最大值对应最大有效角度</t>
  </si>
  <si>
    <t xml:space="preserve">0x3A</t>
  </si>
  <si>
    <t xml:space="preserve">当前速度</t>
  </si>
  <si>
    <t xml:space="preserve">反馈电机当前的转速，即单位时间（每秒）内的步数</t>
  </si>
  <si>
    <t xml:space="preserve">0x3C</t>
  </si>
  <si>
    <t xml:space="preserve">当前负载</t>
  </si>
  <si>
    <t xml:space="preserve">电流控制输出驱动电机的电压占空比</t>
  </si>
  <si>
    <t xml:space="preserve">0x3E</t>
  </si>
  <si>
    <t xml:space="preserve">当前电压</t>
  </si>
  <si>
    <t xml:space="preserve">当前伺服工作电压</t>
  </si>
  <si>
    <t xml:space="preserve">0x3F</t>
  </si>
  <si>
    <t xml:space="preserve">当前温度</t>
  </si>
  <si>
    <t xml:space="preserve">伺服器当前内部工作温度</t>
  </si>
  <si>
    <t xml:space="preserve">0x40</t>
  </si>
  <si>
    <t xml:space="preserve">异步写入标志</t>
  </si>
  <si>
    <t xml:space="preserve">使用异步写指令时，标志位</t>
  </si>
  <si>
    <t xml:space="preserve">0x42</t>
  </si>
  <si>
    <t xml:space="preserve">移动标志</t>
  </si>
  <si>
    <t xml:space="preserve">当舵机运动时，标记为1；当舵机停止时，标记为0</t>
  </si>
  <si>
    <t xml:space="preserve">0x43</t>
  </si>
  <si>
    <t xml:space="preserve">当前目标位置</t>
  </si>
  <si>
    <t xml:space="preserve">曲线规划当前目标位置</t>
  </si>
  <si>
    <t xml:space="preserve">关闭锁定保护</t>
  </si>
  <si>
    <t xml:space="preserve">输入范围</t>
  </si>
  <si>
    <t xml:space="preserve">输入控制参数</t>
  </si>
  <si>
    <t xml:space="preserve">十进制输入</t>
  </si>
  <si>
    <t xml:space="preserve">MD串行舵机</t>
  </si>
  <si>
    <t xml:space="preserve">ID编号</t>
  </si>
  <si>
    <t xml:space="preserve">0-254</t>
  </si>
  <si>
    <t xml:space="preserve">写入指令</t>
  </si>
  <si>
    <t xml:space="preserve">第一个地址</t>
  </si>
  <si>
    <t xml:space="preserve">更改ID编号</t>
  </si>
  <si>
    <t xml:space="preserve">0关闭</t>
  </si>
  <si>
    <t xml:space="preserve">1开锁标志</t>
  </si>
  <si>
    <t xml:space="preserve">关闭锁定保护命令</t>
  </si>
  <si>
    <t xml:space="preserve">十六进制</t>
  </si>
  <si>
    <t xml:space="preserve">标题</t>
  </si>
  <si>
    <t xml:space="preserve">指令数据包长度 </t>
  </si>
  <si>
    <t xml:space="preserve">指令</t>
  </si>
  <si>
    <t xml:space="preserve">写入第一个地址</t>
  </si>
  <si>
    <t xml:space="preserve">ID数据</t>
  </si>
  <si>
    <t xml:space="preserve">检查代码</t>
  </si>
  <si>
    <t xml:space="preserve">FF</t>
  </si>
  <si>
    <t xml:space="preserve">FE</t>
  </si>
  <si>
    <t xml:space="preserve">04</t>
  </si>
  <si>
    <t xml:space="preserve">03</t>
  </si>
  <si>
    <t xml:space="preserve">37</t>
  </si>
  <si>
    <t xml:space="preserve">00</t>
  </si>
  <si>
    <t xml:space="preserve">C3</t>
  </si>
  <si>
    <t xml:space="preserve">十进制</t>
  </si>
  <si>
    <t xml:space="preserve">生成十六进制指令</t>
  </si>
  <si>
    <t xml:space="preserve">FF FF FE 04 03 37 00 C3</t>
  </si>
  <si>
    <t xml:space="preserve">修改ID编号说明</t>
  </si>
  <si>
    <t xml:space="preserve">指令数据包长度  </t>
  </si>
  <si>
    <t xml:space="preserve">01</t>
  </si>
  <si>
    <t xml:space="preserve">05</t>
  </si>
  <si>
    <t xml:space="preserve">02</t>
  </si>
  <si>
    <t xml:space="preserve">F0</t>
  </si>
  <si>
    <t xml:space="preserve">FF FF 01 04 03 05 02 F0</t>
  </si>
  <si>
    <t xml:space="preserve">修改保护条件</t>
  </si>
  <si>
    <t xml:space="preserve">修改保护值</t>
  </si>
  <si>
    <t xml:space="preserve">保护值</t>
  </si>
  <si>
    <t xml:space="preserve">13</t>
  </si>
  <si>
    <t xml:space="preserve">20</t>
  </si>
  <si>
    <t xml:space="preserve">C4</t>
  </si>
  <si>
    <t xml:space="preserve">FF FF 01 04 03 13 20 C4</t>
  </si>
  <si>
    <t xml:space="preserve">切换力启用</t>
  </si>
  <si>
    <t xml:space="preserve">打开</t>
  </si>
  <si>
    <t xml:space="preserve">关闭</t>
  </si>
  <si>
    <t xml:space="preserve">切换力启用指令</t>
  </si>
  <si>
    <t xml:space="preserve">读取数据长度</t>
  </si>
  <si>
    <t xml:space="preserve">FD</t>
  </si>
  <si>
    <t xml:space="preserve">28</t>
  </si>
  <si>
    <t xml:space="preserve">D4</t>
  </si>
  <si>
    <t xml:space="preserve">FF FF FD 04 02 28 00 D4</t>
  </si>
  <si>
    <t xml:space="preserve">位置</t>
  </si>
  <si>
    <t xml:space="preserve">0-4095</t>
  </si>
  <si>
    <t xml:space="preserve">时间</t>
  </si>
  <si>
    <t xml:space="preserve">--</t>
  </si>
  <si>
    <t xml:space="preserve">速度</t>
  </si>
  <si>
    <t xml:space="preserve">0-150</t>
  </si>
  <si>
    <t xml:space="preserve">MD系列</t>
  </si>
  <si>
    <t xml:space="preserve">位置低字节</t>
  </si>
  <si>
    <t xml:space="preserve">位置高字节</t>
  </si>
  <si>
    <t xml:space="preserve">时间低字节</t>
  </si>
  <si>
    <t xml:space="preserve">时间高字节</t>
  </si>
  <si>
    <t xml:space="preserve">速度低字节</t>
  </si>
  <si>
    <t xml:space="preserve">速度高字节</t>
  </si>
  <si>
    <t xml:space="preserve">09</t>
  </si>
  <si>
    <t xml:space="preserve">2A</t>
  </si>
  <si>
    <t xml:space="preserve">E8</t>
  </si>
  <si>
    <t xml:space="preserve">DC</t>
  </si>
  <si>
    <t xml:space="preserve">FF FF 02 09 03 2A E8 03 00 00 00 00 DC</t>
  </si>
  <si>
    <t xml:space="preserve">(单位)</t>
  </si>
  <si>
    <t xml:space="preserve">多回路控制</t>
  </si>
  <si>
    <t xml:space="preserve">0-253</t>
  </si>
  <si>
    <t xml:space="preserve">加速度</t>
  </si>
  <si>
    <t xml:space="preserve">0-255</t>
  </si>
  <si>
    <t xml:space="preserve">8.878 °/s² </t>
  </si>
  <si>
    <t xml:space="preserve">-30719~+30719  （正负7.5圈）</t>
  </si>
  <si>
    <t xml:space="preserve">空集0</t>
  </si>
  <si>
    <t xml:space="preserve">0-1023</t>
  </si>
  <si>
    <t xml:space="preserve">0.732RPM</t>
  </si>
  <si>
    <t xml:space="preserve">无功能</t>
  </si>
  <si>
    <t xml:space="preserve">加速度字节</t>
  </si>
  <si>
    <t xml:space="preserve">0A</t>
  </si>
  <si>
    <t xml:space="preserve">29</t>
  </si>
  <si>
    <t xml:space="preserve">32</t>
  </si>
  <si>
    <t xml:space="preserve">FF FF 01 0A 03 29 32 E8 03 00 00 E8 03 C0</t>
  </si>
  <si>
    <t xml:space="preserve">读取位置指令</t>
  </si>
  <si>
    <t xml:space="preserve">Check code</t>
  </si>
  <si>
    <t xml:space="preserve">阅读说明</t>
  </si>
  <si>
    <t xml:space="preserve">字节数</t>
  </si>
  <si>
    <t xml:space="preserve">MD</t>
  </si>
  <si>
    <t xml:space="preserve">38</t>
  </si>
  <si>
    <t xml:space="preserve">BE</t>
  </si>
  <si>
    <t xml:space="preserve">FF FF 01 04 02 38 02 BE</t>
  </si>
  <si>
    <t xml:space="preserve">圈数清零命令</t>
  </si>
  <si>
    <t xml:space="preserve">已清除的回合数</t>
  </si>
  <si>
    <t xml:space="preserve">F2</t>
  </si>
  <si>
    <t xml:space="preserve">FF FF 01 02 0A F2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</si>
</sst>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0_ "/>
    <numFmt numFmtId="165" formatCode="0\x"/>
    <numFmt numFmtId="166" formatCode="0.00%"/>
    <numFmt numFmtId="167" formatCode="0.0%"/>
    <numFmt numFmtId="168" formatCode="General"/>
  </numFmts>
  <fonts count="10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373C43"/>
      <name val="Calibri"/>
      <family val="2"/>
      <scheme val="minor"/>
    </font>
    <font>
      <sz val="10"/>
      <color rgb="FFFFFFFF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0B050"/>
        <bgColor/>
      </patternFill>
    </fill>
    <fill>
      <patternFill patternType="solid">
        <fgColor rgb="FFBDD6EE"/>
        <bgColor/>
      </patternFill>
    </fill>
    <fill>
      <patternFill patternType="solid">
        <fgColor rgb="FF92D050"/>
        <bgColor/>
      </patternFill>
    </fill>
    <fill>
      <patternFill patternType="solid">
        <fgColor rgb="FFFFF258"/>
        <bgColor/>
      </patternFill>
    </fill>
    <fill>
      <patternFill patternType="solid">
        <fgColor rgb="FFFFFFFF"/>
        <bgColor/>
      </patternFill>
    </fill>
    <fill>
      <patternFill patternType="solid">
        <fgColor rgb="FF92D050"/>
        <bgColor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left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3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4" numFmtId="0" xfId="0">
      <alignment horizontal="center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true" applyProtection="false" borderId="0" fillId="0" fontId="5" numFmtId="164" xfId="0">
      <alignment horizontal="center" vertical="center" wrapText="true"/>
    </xf>
    <xf applyAlignment="true" applyBorder="false" applyFill="false" applyFont="true" applyNumberFormat="true" applyProtection="false" borderId="0" fillId="0" fontId="5" numFmtId="164" xfId="0">
      <alignment horizontal="right" vertical="center" wrapText="true"/>
    </xf>
    <xf applyAlignment="true" applyBorder="false" applyFill="false" applyFont="true" applyNumberFormat="false" applyProtection="false" borderId="0" fillId="0" fontId="3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right" vertical="center" wrapText="true"/>
    </xf>
    <xf applyAlignment="true" applyBorder="false" applyFill="false" applyFont="true" applyNumberFormat="false" applyProtection="false" borderId="0" fillId="0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vertical="center" wrapText="true"/>
    </xf>
    <xf applyAlignment="true" applyBorder="false" applyFill="true" applyFont="true" applyNumberFormat="false" applyProtection="false" borderId="0" fillId="2" fontId="5" numFmtId="0" xfId="0">
      <alignment horizontal="center" vertical="center" wrapText="true"/>
    </xf>
    <xf applyAlignment="true" applyBorder="false" applyFill="false" applyFont="true" applyNumberFormat="false" applyProtection="false" borderId="0" fillId="0" fontId="6" numFmtId="0" xfId="0">
      <alignment horizontal="center" vertical="center" wrapText="true"/>
    </xf>
    <xf applyAlignment="true" applyBorder="false" applyFill="true" applyFont="true" applyNumberFormat="false" applyProtection="false" borderId="1" fillId="3" fontId="7" numFmtId="0" xfId="0">
      <alignment horizontal="center" vertical="center" wrapText="true"/>
    </xf>
    <xf applyAlignment="true" applyBorder="false" applyFill="true" applyFont="true" applyNumberFormat="false" applyProtection="false" borderId="1" fillId="3" fontId="7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vertical="center" wrapText="true"/>
    </xf>
    <xf applyAlignment="true" applyBorder="false" applyFill="false" applyFont="true" applyNumberFormat="false" applyProtection="false" borderId="1" fillId="0" fontId="3" numFmtId="0" xfId="0">
      <alignment vertical="center" wrapText="true"/>
    </xf>
    <xf applyAlignment="true" applyBorder="false" applyFill="false" applyFont="true" applyNumberFormat="true" applyProtection="false" borderId="0" fillId="0" fontId="5" numFmtId="165" xfId="0">
      <alignment vertical="center" wrapText="true"/>
    </xf>
    <xf applyAlignment="true" applyBorder="false" applyFill="false" applyFont="true" applyNumberFormat="false" applyProtection="false" borderId="1" fillId="0" fontId="5" numFmtId="0" xfId="0">
      <alignment horizontal="center" vertical="center" wrapText="true"/>
    </xf>
    <xf applyAlignment="true" applyBorder="false" applyFill="false" applyFont="true" applyNumberFormat="true" applyProtection="false" borderId="1" fillId="0" fontId="3" numFmtId="165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vertical="center" wrapText="true"/>
    </xf>
    <xf applyAlignment="true" applyBorder="false" applyFill="true" applyFont="true" applyNumberFormat="false" applyProtection="false" borderId="1" fillId="4" fontId="3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true" applyProtection="false" borderId="2" fillId="0" fontId="3" numFmtId="165" xfId="0">
      <alignment horizontal="center" vertical="center"/>
    </xf>
    <xf applyAlignment="true" applyBorder="false" applyFill="false" applyFont="true" applyNumberFormat="false" applyProtection="false" borderId="2" fillId="0" fontId="3" numFmtId="0" xfId="0">
      <alignment vertical="center"/>
    </xf>
    <xf applyAlignment="true" applyBorder="false" applyFill="false" applyFont="true" applyNumberFormat="false" applyProtection="false" borderId="2" fillId="0" fontId="3" numFmtId="0" xfId="0">
      <alignment horizontal="center" vertical="center"/>
    </xf>
    <xf applyAlignment="true" applyBorder="false" applyFill="false" applyFont="true" applyNumberFormat="false" applyProtection="false" borderId="2" fillId="0" fontId="3" numFmtId="0" xfId="0">
      <alignment horizontal="center" vertical="center"/>
    </xf>
    <xf applyAlignment="true" applyBorder="false" applyFill="true" applyFont="true" applyNumberFormat="false" applyProtection="false" borderId="2" fillId="4" fontId="3" numFmtId="0" xfId="0">
      <alignment horizontal="center" vertical="center"/>
    </xf>
    <xf applyAlignment="true" applyBorder="false" applyFill="false" applyFont="true" applyNumberFormat="false" applyProtection="false" borderId="2" fillId="0" fontId="3" numFmtId="0" xfId="0">
      <alignment horizontal="center" vertical="center" wrapText="true"/>
    </xf>
    <xf applyAlignment="true" applyBorder="false" applyFill="false" applyFont="true" applyNumberFormat="false" applyProtection="false" borderId="2" fillId="0" fontId="3" numFmtId="0" xfId="0">
      <alignment vertical="center" wrapText="true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true" applyProtection="false" borderId="2" fillId="0" fontId="3" numFmtId="165" xfId="0">
      <alignment horizontal="center" vertical="center"/>
    </xf>
    <xf applyAlignment="true" applyBorder="false" applyFill="false" applyFont="true" applyNumberFormat="false" applyProtection="false" borderId="2" fillId="0" fontId="3" numFmtId="0" xfId="0">
      <alignment vertical="center" wrapText="true"/>
    </xf>
    <xf applyAlignment="true" applyBorder="false" applyFill="false" applyFont="true" applyNumberFormat="true" applyProtection="false" borderId="2" fillId="0" fontId="3" numFmtId="166" xfId="0">
      <alignment horizontal="center" vertical="center"/>
    </xf>
    <xf applyAlignment="true" applyBorder="false" applyFill="false" applyFont="true" applyNumberFormat="true" applyProtection="false" borderId="2" fillId="0" fontId="3" numFmtId="166" xfId="0">
      <alignment horizontal="center" vertical="center" wrapText="true"/>
    </xf>
    <xf applyAlignment="true" applyBorder="false" applyFill="false" applyFont="true" applyNumberFormat="true" applyProtection="false" borderId="1" fillId="0" fontId="5" numFmtId="167" xfId="0">
      <alignment horizontal="center" vertical="center" wrapText="true"/>
    </xf>
    <xf applyAlignment="true" applyBorder="false" applyFill="false" applyFont="true" applyNumberFormat="true" applyProtection="false" borderId="1" fillId="0" fontId="3" numFmtId="167" xfId="0">
      <alignment horizontal="center" vertical="center" wrapText="true"/>
    </xf>
    <xf applyAlignment="true" applyBorder="false" applyFill="false" applyFont="true" applyNumberFormat="false" applyProtection="false" borderId="2" fillId="0" fontId="3" numFmtId="0" xfId="0">
      <alignment vertical="center" wrapText="true"/>
    </xf>
    <xf applyAlignment="true" applyBorder="false" applyFill="false" applyFont="true" applyNumberFormat="false" applyProtection="false" borderId="2" fillId="0" fontId="3" numFmtId="0" xfId="0">
      <alignment horizontal="left" vertical="center"/>
    </xf>
    <xf applyAlignment="true" applyBorder="false" applyFill="false" applyFont="true" applyNumberFormat="true" applyProtection="false" borderId="2" fillId="0" fontId="3" numFmtId="167" xfId="0">
      <alignment horizontal="center" vertical="center"/>
    </xf>
    <xf applyAlignment="true" applyBorder="false" applyFill="false" applyFont="true" applyNumberFormat="true" applyProtection="false" borderId="2" fillId="0" fontId="3" numFmtId="167" xfId="0">
      <alignment horizontal="center" vertical="center" wrapText="true"/>
    </xf>
    <xf applyAlignment="true" applyBorder="false" applyFill="false" applyFont="true" applyNumberFormat="false" applyProtection="false" borderId="2" fillId="0" fontId="3" numFmtId="0" xfId="0">
      <alignment horizontal="left" vertical="center" wrapText="true"/>
    </xf>
    <xf applyAlignment="true" applyBorder="false" applyFill="false" applyFont="true" applyNumberFormat="false" applyProtection="false" borderId="1" fillId="0" fontId="5" numFmtId="0" xfId="0">
      <alignment vertical="center" wrapText="true"/>
    </xf>
    <xf applyAlignment="true" applyBorder="false" applyFill="false" applyFont="true" applyNumberFormat="false" applyProtection="false" borderId="1" fillId="0" fontId="3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0" fontId="3" numFmtId="0" xfId="0">
      <alignment horizontal="center" vertical="center"/>
    </xf>
    <xf applyAlignment="true" applyBorder="false" applyFill="true" applyFont="true" applyNumberFormat="false" applyProtection="false" borderId="4" fillId="4" fontId="3" numFmtId="0" xfId="0">
      <alignment horizontal="center" vertical="center"/>
    </xf>
    <xf applyAlignment="true" applyBorder="false" applyFill="false" applyFont="true" applyNumberFormat="false" applyProtection="false" borderId="4" fillId="0" fontId="3" numFmtId="0" xfId="0">
      <alignment horizontal="center" vertical="center" wrapText="true"/>
    </xf>
    <xf applyAlignment="true" applyBorder="false" applyFill="false" applyFont="true" applyNumberFormat="false" applyProtection="false" borderId="4" fillId="0" fontId="3" numFmtId="0" xfId="0">
      <alignment vertical="center" wrapText="true"/>
    </xf>
    <xf applyAlignment="true" applyBorder="false" applyFill="false" applyFont="true" applyNumberFormat="true" applyProtection="false" borderId="4" fillId="0" fontId="3" numFmtId="167" xfId="0">
      <alignment horizontal="center" vertical="center"/>
    </xf>
    <xf applyAlignment="true" applyBorder="false" applyFill="false" applyFont="true" applyNumberFormat="true" applyProtection="false" borderId="4" fillId="0" fontId="3" numFmtId="167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horizontal="left" vertical="center" wrapText="true"/>
    </xf>
    <xf applyAlignment="true" applyBorder="false" applyFill="false" applyFont="true" applyNumberFormat="false" applyProtection="false" borderId="5" fillId="0" fontId="3" numFmtId="0" xfId="0">
      <alignment vertical="center" wrapText="true"/>
    </xf>
    <xf applyAlignment="true" applyBorder="false" applyFill="true" applyFont="true" applyNumberFormat="false" applyProtection="false" borderId="1" fillId="5" fontId="3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vertical="center" wrapText="true"/>
    </xf>
    <xf applyAlignment="true" applyBorder="false" applyFill="false" applyFont="true" applyNumberFormat="false" applyProtection="false" borderId="1" fillId="0" fontId="3" numFmtId="0" xfId="0">
      <alignment horizontal="left" vertical="center" wrapText="true"/>
    </xf>
    <xf applyAlignment="true" applyBorder="false" applyFill="true" applyFont="true" applyNumberFormat="false" applyProtection="false" borderId="1" fillId="6" fontId="8" numFmtId="0" xfId="0">
      <alignment horizontal="center" vertical="center"/>
    </xf>
    <xf applyAlignment="true" applyBorder="false" applyFill="true" applyFont="true" applyNumberFormat="true" applyProtection="false" borderId="2" fillId="6" fontId="8" numFmtId="165" xfId="0">
      <alignment horizontal="center" vertical="center"/>
    </xf>
    <xf applyAlignment="true" applyBorder="false" applyFill="false" applyFont="true" applyNumberFormat="false" applyProtection="false" borderId="2" fillId="0" fontId="3" numFmtId="0" xfId="0">
      <alignment horizontal="center" vertical="center" wrapText="true"/>
    </xf>
    <xf applyAlignment="true" applyBorder="false" applyFill="false" applyFont="true" applyNumberFormat="false" applyProtection="false" borderId="3" fillId="0" fontId="3" numFmtId="0" xfId="0">
      <alignment horizontal="center" vertical="center"/>
    </xf>
    <xf applyAlignment="true" applyBorder="false" applyFill="false" applyFont="true" applyNumberFormat="true" applyProtection="false" borderId="4" fillId="0" fontId="3" numFmtId="165" xfId="0">
      <alignment horizontal="center" vertical="center"/>
    </xf>
    <xf applyAlignment="true" applyBorder="false" applyFill="false" applyFont="true" applyNumberFormat="false" applyProtection="false" borderId="4" fillId="0" fontId="3" numFmtId="0" xfId="0">
      <alignment vertical="center"/>
    </xf>
    <xf applyAlignment="true" applyBorder="false" applyFill="true" applyFont="true" applyNumberFormat="false" applyProtection="false" borderId="0" fillId="6" fontId="9" numFmtId="0" xfId="0">
      <alignment vertical="center"/>
    </xf>
    <xf applyAlignment="true" applyBorder="false" applyFill="false" applyFont="true" applyNumberFormat="true" applyProtection="false" borderId="1" fillId="0" fontId="3" numFmtId="165" xfId="0">
      <alignment horizontal="center" vertical="center" wrapText="true"/>
    </xf>
    <xf applyAlignment="true" applyBorder="false" applyFill="false" applyFont="true" applyNumberFormat="false" applyProtection="false" borderId="1" fillId="0" fontId="5" numFmtId="0" xfId="0">
      <alignment horizontal="left" vertical="center" wrapText="true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false" applyFont="true" applyNumberFormat="false" applyProtection="false" borderId="0" fillId="0" fontId="5" numFmtId="0" xfId="0">
      <alignment vertical="bottom" wrapText="true"/>
    </xf>
    <xf applyAlignment="true" applyBorder="false" applyFill="false" applyFont="true" applyNumberFormat="false" applyProtection="false" borderId="6" fillId="0" fontId="5" numFmtId="0" xfId="0">
      <alignment horizontal="center" vertical="bottom" wrapText="true"/>
    </xf>
    <xf applyAlignment="true" applyBorder="false" applyFill="false" applyFont="true" applyNumberFormat="false" applyProtection="false" borderId="0" fillId="0" fontId="5" numFmtId="0" xfId="0">
      <alignment horizontal="center" vertical="bottom" wrapText="true"/>
    </xf>
    <xf applyAlignment="true" applyBorder="false" applyFill="false" applyFont="true" applyNumberFormat="false" applyProtection="false" borderId="7" fillId="0" fontId="5" numFmtId="0" xfId="0">
      <alignment horizontal="center" vertical="bottom" wrapText="true"/>
    </xf>
    <xf applyAlignment="true" applyBorder="false" applyFill="false" applyFont="true" applyNumberFormat="false" applyProtection="false" borderId="7" fillId="0" fontId="5" numFmtId="0" xfId="0">
      <alignment horizontal="right" vertical="bottom" wrapText="true"/>
    </xf>
    <xf applyAlignment="true" applyBorder="false" applyFill="true" applyFont="true" applyNumberFormat="false" applyProtection="false" borderId="7" fillId="7" fontId="5" numFmtId="0" xfId="0">
      <alignment horizontal="center" vertical="bottom" wrapText="true"/>
    </xf>
    <xf applyAlignment="true" applyBorder="false" applyFill="false" applyFont="true" applyNumberFormat="false" applyProtection="false" borderId="7" fillId="0" fontId="5" numFmtId="0" xfId="0">
      <alignment horizontal="center" vertical="center" wrapText="true"/>
    </xf>
    <xf applyAlignment="true" applyBorder="false" applyFill="false" applyFont="true" applyNumberFormat="false" applyProtection="false" borderId="8" fillId="0" fontId="5" numFmtId="0" xfId="0">
      <alignment horizontal="center" vertical="bottom" wrapText="true"/>
    </xf>
    <xf applyAlignment="true" applyBorder="false" applyFill="false" applyFont="true" applyNumberFormat="true" applyProtection="false" borderId="7" fillId="0" fontId="5" numFmtId="168" xfId="0">
      <alignment horizontal="center" vertical="bottom" wrapText="true"/>
    </xf>
    <xf applyAlignment="true" applyBorder="false" applyFill="false" applyFont="true" applyNumberFormat="false" applyProtection="false" borderId="7" fillId="0" fontId="5" numFmtId="0" xfId="0">
      <alignment vertical="bottom" wrapText="true"/>
    </xf>
    <xf applyAlignment="true" applyBorder="false" applyFill="false" applyFont="true" applyNumberFormat="false" applyProtection="false" borderId="9" fillId="0" fontId="5" numFmtId="0" xfId="0">
      <alignment horizontal="center" vertical="bottom" wrapText="true"/>
    </xf>
    <xf applyAlignment="true" applyBorder="false" applyFill="false" applyFont="true" applyNumberFormat="false" applyProtection="false" borderId="10" fillId="0" fontId="5" numFmtId="0" xfId="0">
      <alignment horizontal="center" vertical="bottom" wrapText="true"/>
    </xf>
    <xf applyAlignment="true" applyBorder="false" applyFill="false" applyFont="true" applyNumberFormat="false" applyProtection="false" borderId="11" fillId="0" fontId="5" numFmtId="0" xfId="0">
      <alignment horizontal="center" vertical="bottom" wrapText="true"/>
    </xf>
    <xf applyAlignment="true" applyBorder="false" applyFill="false" applyFont="true" applyNumberFormat="false" applyProtection="false" borderId="7" fillId="0" fontId="5" numFmtId="0" xfId="0">
      <alignment horizontal="center" vertical="bottom" wrapText="true"/>
    </xf>
    <xf applyAlignment="true" applyBorder="false" applyFill="false" applyFont="true" applyNumberFormat="false" applyProtection="false" borderId="7" fillId="0" fontId="5" numFmtId="0" xfId="0">
      <alignment horizontal="left" vertical="bottom" wrapText="true"/>
    </xf>
    <xf applyAlignment="true" applyBorder="false" applyFill="false" applyFont="true" applyNumberFormat="false" applyProtection="false" borderId="0" fillId="0" fontId="5" numFmtId="0" xfId="0">
      <alignment horizontal="left" vertical="bottom" wrapText="true"/>
    </xf>
    <xf applyAlignment="true" applyBorder="false" applyFill="false" applyFont="true" applyNumberFormat="false" applyProtection="false" borderId="8" fillId="0" fontId="5" numFmtId="0" xfId="0">
      <alignment vertical="bottom" wrapText="true"/>
    </xf>
    <xf applyAlignment="true" applyBorder="false" applyFill="false" applyFont="true" applyNumberFormat="false" applyProtection="false" borderId="12" fillId="0" fontId="5" numFmtId="0" xfId="0">
      <alignment vertical="bottom" wrapText="true"/>
    </xf>
    <xf applyAlignment="true" applyBorder="false" applyFill="false" applyFont="true" applyNumberFormat="false" applyProtection="false" borderId="13" fillId="0" fontId="5" numFmtId="0" xfId="0">
      <alignment vertical="bottom" wrapText="true"/>
    </xf>
    <xf applyAlignment="true" applyBorder="false" applyFill="false" applyFont="true" applyNumberFormat="false" applyProtection="false" borderId="14" fillId="0" fontId="1" numFmtId="0" xfId="0">
      <alignment horizontal="center"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vmlDrawing1.vml" Type="http://schemas.openxmlformats.org/officeDocument/2006/relationships/vmlDrawing"></Relationship><Relationship Id="rId2" Target="../comments1.xml" Type="http://schemas.openxmlformats.org/officeDocument/2006/relationships/comments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0"/>
  <cols>
    <col collapsed="false" customWidth="true" hidden="false" max="12" min="12" style="0" width="39"/>
    <col collapsed="false" customWidth="true" hidden="false" max="1" min="1" style="0" width="8.066666666666666"/>
    <col collapsed="false" customWidth="true" hidden="false" max="3" min="3" style="0" width="8.466666666666667"/>
    <col collapsed="false" customWidth="true" hidden="false" max="5" min="5" style="0" width="13"/>
    <col collapsed="false" customWidth="true" hidden="false" max="8" min="8" style="0" width="8.733333333333333"/>
    <col collapsed="false" customWidth="true" hidden="false" max="10" min="10" style="0" width="15.666666666666666"/>
    <col collapsed="false" customWidth="true" hidden="false" max="11" min="11" style="0" width="16.866666666666667"/>
    <col collapsed="false" customWidth="true" hidden="false" max="13" min="13" style="0" width="3.4"/>
    <col collapsed="false" customWidth="true" hidden="false" max="2" min="2" style="0" width="7.133333333333334"/>
    <col collapsed="false" customWidth="true" hidden="false" max="4" min="4" style="0" width="16.866666666666667"/>
    <col collapsed="false" customWidth="true" hidden="false" max="6" min="6" style="0" width="10.866666666666667"/>
    <col collapsed="false" customWidth="true" hidden="false" max="7" min="7" style="0" width="14.6"/>
    <col collapsed="false" customWidth="true" hidden="false" max="9" min="9" style="0" width="11.133333333333333"/>
  </cols>
  <sheetData>
    <row customHeight="true" hidden="true" ht="15.555555555555555" r="1">
      <c r="A1" s="1"/>
      <c r="B1" s="1"/>
      <c r="C1" s="2"/>
      <c r="D1" s="1"/>
      <c r="E1" s="2"/>
      <c r="F1" s="2"/>
      <c r="G1" s="1"/>
      <c r="H1" s="2"/>
      <c r="I1" s="2"/>
      <c r="J1" s="2"/>
    </row>
    <row customHeight="true" ht="20" r="2">
      <c r="A2" s="3"/>
      <c r="B2" s="4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</row>
    <row customHeight="true" ht="15.555555555555555" r="3">
      <c r="A3" s="3"/>
      <c r="B3" s="6"/>
      <c r="C3" s="7" t="s">
        <v>2</v>
      </c>
      <c r="D3" s="8"/>
      <c r="E3" s="7"/>
      <c r="F3" s="9"/>
      <c r="G3" s="10" t="s">
        <v>3</v>
      </c>
      <c r="H3" s="6"/>
      <c r="I3" s="6"/>
      <c r="J3" s="11" t="s">
        <v>4</v>
      </c>
      <c r="K3" s="6"/>
      <c r="L3" s="12"/>
    </row>
    <row customHeight="true" ht="15.555555555555555" r="4">
      <c r="A4" s="3"/>
      <c r="B4" s="6"/>
      <c r="C4" s="6" t="s">
        <v>5</v>
      </c>
      <c r="D4" s="10"/>
      <c r="E4" s="13"/>
      <c r="F4" s="9"/>
      <c r="G4" s="10" t="s">
        <v>6</v>
      </c>
      <c r="H4" s="6"/>
      <c r="I4" s="6"/>
      <c r="J4" s="6"/>
      <c r="K4" s="6"/>
      <c r="L4" s="3"/>
    </row>
    <row customHeight="true" ht="15.555555555555555" r="5">
      <c r="A5" s="3"/>
      <c r="B5" s="6"/>
      <c r="C5" s="6" t="s">
        <v>7</v>
      </c>
      <c r="D5" s="10"/>
      <c r="E5" s="6">
        <v>360</v>
      </c>
      <c r="F5" s="14" t="s">
        <v>8</v>
      </c>
      <c r="G5" s="14"/>
      <c r="H5" s="14"/>
      <c r="I5" s="14"/>
      <c r="J5" s="14"/>
      <c r="K5" s="14"/>
      <c r="L5" s="14"/>
    </row>
    <row customHeight="true" ht="15.555555555555555" r="6">
      <c r="A6" s="3"/>
      <c r="B6" s="6"/>
      <c r="C6" s="6" t="s">
        <v>9</v>
      </c>
      <c r="D6" s="10"/>
      <c r="E6" s="6">
        <v>4096</v>
      </c>
      <c r="F6" s="9"/>
      <c r="G6" s="10"/>
      <c r="H6" s="6"/>
      <c r="I6" s="6"/>
      <c r="J6" s="6"/>
      <c r="K6" s="6"/>
      <c r="L6" s="3"/>
    </row>
    <row customHeight="true" ht="15.555555555555555" r="7">
      <c r="A7" s="3"/>
      <c r="B7" s="6"/>
      <c r="C7" s="6" t="s">
        <v>10</v>
      </c>
      <c r="D7" s="10"/>
      <c r="E7" s="6">
        <v>0.087890625</v>
      </c>
      <c r="F7" s="9"/>
      <c r="G7" s="10" t="s">
        <v>11</v>
      </c>
      <c r="H7" s="6"/>
      <c r="I7" s="6"/>
      <c r="J7" s="6">
        <v>0.17578125</v>
      </c>
      <c r="K7" s="6"/>
      <c r="L7" s="3"/>
    </row>
    <row customHeight="true" ht="15.555555555555555" r="8">
      <c r="A8" s="3"/>
      <c r="B8" s="6"/>
      <c r="C8" s="6" t="s">
        <v>12</v>
      </c>
      <c r="D8" s="6"/>
      <c r="E8" s="6">
        <v>8.7890625</v>
      </c>
      <c r="F8" s="9"/>
      <c r="G8" s="10"/>
      <c r="H8" s="6"/>
      <c r="I8" s="6"/>
      <c r="J8" s="6"/>
      <c r="K8" s="6"/>
      <c r="L8" s="3"/>
    </row>
    <row customHeight="true" ht="31.11111111111111" r="9">
      <c r="A9" s="3"/>
      <c r="B9" s="15" t="s">
        <v>13</v>
      </c>
      <c r="C9" s="15"/>
      <c r="D9" s="15" t="s">
        <v>14</v>
      </c>
      <c r="E9" s="16" t="s">
        <v>15</v>
      </c>
      <c r="F9" s="15" t="s">
        <v>16</v>
      </c>
      <c r="G9" s="15" t="s">
        <v>17</v>
      </c>
      <c r="H9" s="15" t="s">
        <v>18</v>
      </c>
      <c r="I9" s="15" t="s">
        <v>19</v>
      </c>
      <c r="J9" s="15" t="s">
        <v>20</v>
      </c>
      <c r="K9" s="15" t="s">
        <v>21</v>
      </c>
      <c r="L9" s="15" t="s">
        <v>22</v>
      </c>
    </row>
    <row customHeight="true" ht="50.37037037037037" r="10">
      <c r="A10" s="3"/>
      <c r="B10" s="17" t="s">
        <v>23</v>
      </c>
      <c r="C10" s="17" t="s">
        <v>24</v>
      </c>
      <c r="D10" s="18"/>
      <c r="E10" s="17" t="s">
        <v>25</v>
      </c>
      <c r="F10" s="17"/>
      <c r="G10" s="17"/>
      <c r="H10" s="17"/>
      <c r="I10" s="17"/>
      <c r="J10" s="17"/>
      <c r="K10" s="17"/>
      <c r="L10" s="19" t="s">
        <v>26</v>
      </c>
    </row>
    <row customHeight="true" ht="37.03703703703704" r="11">
      <c r="A11" s="20"/>
      <c r="B11" s="21">
        <v>0</v>
      </c>
      <c r="C11" s="22" t="s">
        <v>27</v>
      </c>
      <c r="D11" s="23" t="s">
        <v>28</v>
      </c>
      <c r="E11" s="21">
        <v>1</v>
      </c>
      <c r="F11" s="17">
        <v>3</v>
      </c>
      <c r="G11" s="24" t="s">
        <v>29</v>
      </c>
      <c r="H11" s="17" t="s">
        <v>30</v>
      </c>
      <c r="I11" s="25" t="s">
        <v>31</v>
      </c>
      <c r="J11" s="25" t="s">
        <v>31</v>
      </c>
      <c r="K11" s="17"/>
      <c r="L11" s="18"/>
    </row>
    <row customHeight="true" ht="26.666666666666664" r="12">
      <c r="A12" s="20"/>
      <c r="B12" s="21">
        <v>1</v>
      </c>
      <c r="C12" s="22" t="s">
        <v>32</v>
      </c>
      <c r="D12" s="18" t="s">
        <v>33</v>
      </c>
      <c r="E12" s="21">
        <v>1</v>
      </c>
      <c r="F12" s="26" t="s">
        <v>31</v>
      </c>
      <c r="G12" s="24" t="s">
        <v>29</v>
      </c>
      <c r="H12" s="17" t="s">
        <v>30</v>
      </c>
      <c r="I12" s="25" t="s">
        <v>31</v>
      </c>
      <c r="J12" s="25" t="s">
        <v>31</v>
      </c>
      <c r="K12" s="17"/>
      <c r="L12" s="18"/>
    </row>
    <row customHeight="true" ht="26.666666666666664" r="13">
      <c r="A13" s="20"/>
      <c r="B13" s="21">
        <v>3</v>
      </c>
      <c r="C13" s="22" t="s">
        <v>34</v>
      </c>
      <c r="D13" s="19" t="s">
        <v>35</v>
      </c>
      <c r="E13" s="21">
        <v>1</v>
      </c>
      <c r="F13" s="26" t="s">
        <v>31</v>
      </c>
      <c r="G13" s="24" t="s">
        <v>29</v>
      </c>
      <c r="H13" s="17" t="s">
        <v>30</v>
      </c>
      <c r="I13" s="25" t="s">
        <v>31</v>
      </c>
      <c r="J13" s="25" t="s">
        <v>31</v>
      </c>
      <c r="K13" s="17"/>
      <c r="L13" s="18"/>
    </row>
    <row customHeight="true" ht="26.666666666666664" r="14">
      <c r="A14" s="20"/>
      <c r="B14" s="21">
        <v>4</v>
      </c>
      <c r="C14" s="22" t="s">
        <v>36</v>
      </c>
      <c r="D14" s="19" t="s">
        <v>37</v>
      </c>
      <c r="E14" s="21">
        <v>1</v>
      </c>
      <c r="F14" s="26" t="s">
        <v>31</v>
      </c>
      <c r="G14" s="24" t="s">
        <v>29</v>
      </c>
      <c r="H14" s="17" t="s">
        <v>30</v>
      </c>
      <c r="I14" s="25" t="s">
        <v>31</v>
      </c>
      <c r="J14" s="25" t="s">
        <v>31</v>
      </c>
      <c r="K14" s="17"/>
      <c r="L14" s="18"/>
    </row>
    <row customHeight="true" ht="40" r="15">
      <c r="A15" s="20"/>
      <c r="B15" s="21">
        <v>5</v>
      </c>
      <c r="C15" s="22" t="s">
        <v>38</v>
      </c>
      <c r="D15" s="18" t="s">
        <v>39</v>
      </c>
      <c r="E15" s="21">
        <v>1</v>
      </c>
      <c r="F15" s="17">
        <v>1</v>
      </c>
      <c r="G15" s="24" t="s">
        <v>29</v>
      </c>
      <c r="H15" s="17" t="s">
        <v>40</v>
      </c>
      <c r="I15" s="21">
        <v>0</v>
      </c>
      <c r="J15" s="21">
        <v>253</v>
      </c>
      <c r="K15" s="26" t="s">
        <v>41</v>
      </c>
      <c r="L15" s="18" t="s">
        <v>42</v>
      </c>
    </row>
    <row customHeight="true" ht="75.55555555555556" r="16">
      <c r="A16" s="20"/>
      <c r="B16" s="21">
        <v>6</v>
      </c>
      <c r="C16" s="22" t="s">
        <v>43</v>
      </c>
      <c r="D16" s="18" t="s">
        <v>44</v>
      </c>
      <c r="E16" s="21">
        <v>1</v>
      </c>
      <c r="F16" s="17">
        <v>0</v>
      </c>
      <c r="G16" s="24" t="s">
        <v>29</v>
      </c>
      <c r="H16" s="17" t="s">
        <v>40</v>
      </c>
      <c r="I16" s="21">
        <v>0</v>
      </c>
      <c r="J16" s="21">
        <v>7</v>
      </c>
      <c r="K16" s="26" t="s">
        <v>41</v>
      </c>
      <c r="L16" s="19" t="s">
        <v>45</v>
      </c>
    </row>
    <row customHeight="true" ht="49.629629629629626" r="17">
      <c r="B17" s="27">
        <v>7</v>
      </c>
      <c r="C17" s="28" t="s">
        <v>46</v>
      </c>
      <c r="D17" s="29" t="s">
        <v>47</v>
      </c>
      <c r="E17" s="30">
        <v>1</v>
      </c>
      <c r="F17" s="31">
        <v>253</v>
      </c>
      <c r="G17" s="32" t="s">
        <v>29</v>
      </c>
      <c r="H17" s="30" t="s">
        <v>40</v>
      </c>
      <c r="I17" s="30">
        <v>0</v>
      </c>
      <c r="J17" s="30">
        <v>253</v>
      </c>
      <c r="K17" s="33" t="s">
        <v>41</v>
      </c>
      <c r="L17" s="34" t="s">
        <v>48</v>
      </c>
    </row>
    <row customHeight="true" ht="40" r="18">
      <c r="A18" s="20"/>
      <c r="B18" s="21">
        <v>8</v>
      </c>
      <c r="C18" s="22" t="s">
        <v>49</v>
      </c>
      <c r="D18" s="18" t="s">
        <v>50</v>
      </c>
      <c r="E18" s="21">
        <v>1</v>
      </c>
      <c r="F18" s="17">
        <v>1</v>
      </c>
      <c r="G18" s="24" t="s">
        <v>29</v>
      </c>
      <c r="H18" s="17" t="s">
        <v>40</v>
      </c>
      <c r="I18" s="21">
        <v>0</v>
      </c>
      <c r="J18" s="21">
        <v>1</v>
      </c>
      <c r="K18" s="26" t="s">
        <v>41</v>
      </c>
      <c r="L18" s="18" t="s">
        <v>51</v>
      </c>
    </row>
    <row customHeight="true" ht="71.1111111111111" r="19">
      <c r="A19" s="20"/>
      <c r="B19" s="21">
        <v>9</v>
      </c>
      <c r="C19" s="22" t="s">
        <v>52</v>
      </c>
      <c r="D19" s="18" t="s">
        <v>53</v>
      </c>
      <c r="E19" s="21">
        <v>2</v>
      </c>
      <c r="F19" s="17">
        <v>0</v>
      </c>
      <c r="G19" s="24" t="s">
        <v>29</v>
      </c>
      <c r="H19" s="17" t="s">
        <v>40</v>
      </c>
      <c r="I19" s="25">
        <v>-32766</v>
      </c>
      <c r="J19" s="25">
        <v>32765</v>
      </c>
      <c r="K19" s="26" t="s">
        <v>54</v>
      </c>
      <c r="L19" s="19" t="s">
        <v>55</v>
      </c>
    </row>
    <row customHeight="true" ht="65.18518518518518" r="20">
      <c r="A20" s="20"/>
      <c r="B20" s="21">
        <v>11</v>
      </c>
      <c r="C20" s="22" t="s">
        <v>56</v>
      </c>
      <c r="D20" s="18" t="s">
        <v>57</v>
      </c>
      <c r="E20" s="21">
        <v>2</v>
      </c>
      <c r="F20" s="17">
        <v>4095</v>
      </c>
      <c r="G20" s="24" t="s">
        <v>29</v>
      </c>
      <c r="H20" s="17" t="s">
        <v>40</v>
      </c>
      <c r="I20" s="21">
        <v>1</v>
      </c>
      <c r="J20" s="21">
        <v>4095</v>
      </c>
      <c r="K20" s="26" t="s">
        <v>54</v>
      </c>
      <c r="L20" s="19" t="s">
        <v>58</v>
      </c>
    </row>
    <row customHeight="true" ht="41.48148148148148" r="21">
      <c r="A21" s="20"/>
      <c r="B21" s="21">
        <v>13</v>
      </c>
      <c r="C21" s="22" t="s">
        <v>59</v>
      </c>
      <c r="D21" s="18" t="s">
        <v>60</v>
      </c>
      <c r="E21" s="21">
        <v>1</v>
      </c>
      <c r="F21" s="17">
        <v>70</v>
      </c>
      <c r="G21" s="24" t="s">
        <v>29</v>
      </c>
      <c r="H21" s="17" t="s">
        <v>40</v>
      </c>
      <c r="I21" s="21">
        <v>0</v>
      </c>
      <c r="J21" s="21">
        <v>100</v>
      </c>
      <c r="K21" s="17" t="s">
        <v>61</v>
      </c>
      <c r="L21" s="18" t="s">
        <v>62</v>
      </c>
    </row>
    <row customHeight="true" ht="37.77777777777778" r="22">
      <c r="A22" s="20"/>
      <c r="B22" s="21">
        <v>14</v>
      </c>
      <c r="C22" s="22" t="s">
        <v>63</v>
      </c>
      <c r="D22" s="18" t="s">
        <v>64</v>
      </c>
      <c r="E22" s="21">
        <v>1</v>
      </c>
      <c r="F22" s="26">
        <v>140</v>
      </c>
      <c r="G22" s="24" t="s">
        <v>29</v>
      </c>
      <c r="H22" s="17" t="s">
        <v>40</v>
      </c>
      <c r="I22" s="21">
        <v>0</v>
      </c>
      <c r="J22" s="21">
        <v>254</v>
      </c>
      <c r="K22" s="17" t="s">
        <v>65</v>
      </c>
      <c r="L22" s="19" t="s">
        <v>66</v>
      </c>
    </row>
    <row customHeight="true" ht="42.96296296296296" r="23">
      <c r="A23" s="20"/>
      <c r="B23" s="21">
        <v>15</v>
      </c>
      <c r="C23" s="22" t="s">
        <v>67</v>
      </c>
      <c r="D23" s="18" t="s">
        <v>68</v>
      </c>
      <c r="E23" s="21">
        <v>1</v>
      </c>
      <c r="F23" s="26">
        <v>60</v>
      </c>
      <c r="G23" s="24" t="s">
        <v>29</v>
      </c>
      <c r="H23" s="17" t="s">
        <v>40</v>
      </c>
      <c r="I23" s="21">
        <v>0</v>
      </c>
      <c r="J23" s="21">
        <v>254</v>
      </c>
      <c r="K23" s="17" t="s">
        <v>65</v>
      </c>
      <c r="L23" s="19" t="s">
        <v>69</v>
      </c>
    </row>
    <row customHeight="true" ht="46.666666666666664" r="24">
      <c r="B24" s="35">
        <v>16</v>
      </c>
      <c r="C24" s="36" t="s">
        <v>70</v>
      </c>
      <c r="D24" s="37" t="s">
        <v>71</v>
      </c>
      <c r="E24" s="30">
        <v>2</v>
      </c>
      <c r="F24" s="30">
        <v>680</v>
      </c>
      <c r="G24" s="32" t="s">
        <v>29</v>
      </c>
      <c r="H24" s="30" t="s">
        <v>40</v>
      </c>
      <c r="I24" s="38">
        <v>0</v>
      </c>
      <c r="J24" s="30">
        <v>1000</v>
      </c>
      <c r="K24" s="39">
        <v>0.001</v>
      </c>
      <c r="L24" s="19" t="s">
        <v>72</v>
      </c>
      <c r="N24" s="19"/>
      <c r="O24" s="19"/>
      <c r="P24" s="19"/>
      <c r="Q24" s="19"/>
    </row>
    <row customHeight="true" ht="112.59259259259258" r="25">
      <c r="A25" s="20"/>
      <c r="B25" s="21">
        <v>18</v>
      </c>
      <c r="C25" s="22" t="s">
        <v>73</v>
      </c>
      <c r="D25" s="37" t="s">
        <v>74</v>
      </c>
      <c r="E25" s="21">
        <v>1</v>
      </c>
      <c r="F25" s="26">
        <v>1</v>
      </c>
      <c r="G25" s="24" t="s">
        <v>29</v>
      </c>
      <c r="H25" s="17" t="s">
        <v>40</v>
      </c>
      <c r="I25" s="40">
        <v>0</v>
      </c>
      <c r="J25" s="21">
        <v>254</v>
      </c>
      <c r="K25" s="41" t="s">
        <v>41</v>
      </c>
      <c r="L25" s="42" t="s">
        <v>75</v>
      </c>
    </row>
    <row customHeight="true" ht="91.32022731253039" r="26">
      <c r="A26" s="20"/>
      <c r="B26" s="21">
        <v>19</v>
      </c>
      <c r="C26" s="22" t="s">
        <v>76</v>
      </c>
      <c r="D26" s="18" t="s">
        <v>77</v>
      </c>
      <c r="E26" s="21">
        <v>1</v>
      </c>
      <c r="F26" s="17">
        <v>44</v>
      </c>
      <c r="G26" s="24" t="s">
        <v>29</v>
      </c>
      <c r="H26" s="17" t="s">
        <v>40</v>
      </c>
      <c r="I26" s="21">
        <v>0</v>
      </c>
      <c r="J26" s="21">
        <v>254</v>
      </c>
      <c r="K26" s="26" t="s">
        <v>41</v>
      </c>
      <c r="L26" s="19" t="s">
        <v>78</v>
      </c>
    </row>
    <row customHeight="true" ht="100.01418442754012" r="27">
      <c r="A27" s="20"/>
      <c r="B27" s="21">
        <v>20</v>
      </c>
      <c r="C27" s="22" t="s">
        <v>79</v>
      </c>
      <c r="D27" s="18" t="s">
        <v>80</v>
      </c>
      <c r="E27" s="21">
        <v>1</v>
      </c>
      <c r="F27" s="17">
        <v>47</v>
      </c>
      <c r="G27" s="24" t="s">
        <v>29</v>
      </c>
      <c r="H27" s="17" t="s">
        <v>40</v>
      </c>
      <c r="I27" s="21">
        <v>0</v>
      </c>
      <c r="J27" s="21">
        <v>254</v>
      </c>
      <c r="K27" s="26" t="s">
        <v>41</v>
      </c>
      <c r="L27" s="37" t="s">
        <v>81</v>
      </c>
    </row>
    <row customHeight="true" ht="26.666666666666664" r="28">
      <c r="A28" s="20"/>
      <c r="B28" s="21">
        <v>21</v>
      </c>
      <c r="C28" s="22" t="s">
        <v>82</v>
      </c>
      <c r="D28" s="19" t="s">
        <v>83</v>
      </c>
      <c r="E28" s="21">
        <v>1</v>
      </c>
      <c r="F28" s="17">
        <v>32</v>
      </c>
      <c r="G28" s="24" t="s">
        <v>29</v>
      </c>
      <c r="H28" s="17" t="s">
        <v>40</v>
      </c>
      <c r="I28" s="21">
        <v>0</v>
      </c>
      <c r="J28" s="21">
        <v>254</v>
      </c>
      <c r="K28" s="26" t="s">
        <v>41</v>
      </c>
      <c r="L28" s="19" t="s">
        <v>84</v>
      </c>
    </row>
    <row customHeight="true" ht="26.666666666666664" r="29">
      <c r="A29" s="20"/>
      <c r="B29" s="21">
        <v>22</v>
      </c>
      <c r="C29" s="22" t="s">
        <v>85</v>
      </c>
      <c r="D29" s="19" t="s">
        <v>86</v>
      </c>
      <c r="E29" s="21">
        <v>1</v>
      </c>
      <c r="F29" s="17">
        <v>32</v>
      </c>
      <c r="G29" s="24" t="s">
        <v>29</v>
      </c>
      <c r="H29" s="17" t="s">
        <v>40</v>
      </c>
      <c r="I29" s="21">
        <v>0</v>
      </c>
      <c r="J29" s="21">
        <v>254</v>
      </c>
      <c r="K29" s="26" t="s">
        <v>41</v>
      </c>
      <c r="L29" s="19" t="s">
        <v>87</v>
      </c>
    </row>
    <row customHeight="true" ht="19.25925925925926" r="30">
      <c r="A30" s="20"/>
      <c r="B30" s="21">
        <v>23</v>
      </c>
      <c r="C30" s="22" t="s">
        <v>88</v>
      </c>
      <c r="D30" s="19" t="s">
        <v>89</v>
      </c>
      <c r="E30" s="21">
        <v>1</v>
      </c>
      <c r="F30" s="17">
        <v>0</v>
      </c>
      <c r="G30" s="24" t="s">
        <v>29</v>
      </c>
      <c r="H30" s="17" t="s">
        <v>40</v>
      </c>
      <c r="I30" s="21">
        <v>0</v>
      </c>
      <c r="J30" s="21">
        <v>254</v>
      </c>
      <c r="K30" s="26" t="s">
        <v>41</v>
      </c>
      <c r="L30" s="19" t="s">
        <v>90</v>
      </c>
    </row>
    <row customHeight="true" ht="48.148148148148145" r="31">
      <c r="A31" s="20"/>
      <c r="B31" s="27">
        <v>24</v>
      </c>
      <c r="C31" s="28" t="s">
        <v>91</v>
      </c>
      <c r="D31" s="43" t="s">
        <v>92</v>
      </c>
      <c r="E31" s="30">
        <v>1</v>
      </c>
      <c r="F31" s="30">
        <v>25</v>
      </c>
      <c r="G31" s="32" t="s">
        <v>29</v>
      </c>
      <c r="H31" s="30" t="s">
        <v>40</v>
      </c>
      <c r="I31" s="44">
        <v>0</v>
      </c>
      <c r="J31" s="30">
        <v>254</v>
      </c>
      <c r="K31" s="45" t="s">
        <v>93</v>
      </c>
      <c r="L31" s="46" t="s">
        <v>94</v>
      </c>
    </row>
    <row customHeight="true" ht="26.666666666666664" r="32">
      <c r="A32" s="20"/>
      <c r="B32" s="21">
        <v>26</v>
      </c>
      <c r="C32" s="22" t="s">
        <v>95</v>
      </c>
      <c r="D32" s="18" t="s">
        <v>96</v>
      </c>
      <c r="E32" s="21">
        <v>1</v>
      </c>
      <c r="F32" s="17">
        <v>1</v>
      </c>
      <c r="G32" s="24" t="s">
        <v>29</v>
      </c>
      <c r="H32" s="17" t="s">
        <v>40</v>
      </c>
      <c r="I32" s="21">
        <v>0</v>
      </c>
      <c r="J32" s="21">
        <v>32</v>
      </c>
      <c r="K32" s="26" t="s">
        <v>54</v>
      </c>
      <c r="L32" s="18" t="s">
        <v>97</v>
      </c>
    </row>
    <row customHeight="true" ht="26.666666666666664" r="33">
      <c r="A33" s="20"/>
      <c r="B33" s="21">
        <v>27</v>
      </c>
      <c r="C33" s="22" t="s">
        <v>98</v>
      </c>
      <c r="D33" s="18" t="s">
        <v>99</v>
      </c>
      <c r="E33" s="21">
        <v>1</v>
      </c>
      <c r="F33" s="17">
        <v>1</v>
      </c>
      <c r="G33" s="24" t="s">
        <v>29</v>
      </c>
      <c r="H33" s="17" t="s">
        <v>40</v>
      </c>
      <c r="I33" s="21">
        <v>0</v>
      </c>
      <c r="J33" s="21">
        <v>32</v>
      </c>
      <c r="K33" s="26" t="s">
        <v>54</v>
      </c>
      <c r="L33" s="18" t="s">
        <v>97</v>
      </c>
    </row>
    <row customHeight="true" ht="25.185185185185183" r="34">
      <c r="A34" s="20"/>
      <c r="B34" s="21">
        <v>28</v>
      </c>
      <c r="C34" s="22" t="s">
        <v>100</v>
      </c>
      <c r="D34" s="47" t="s">
        <v>101</v>
      </c>
      <c r="E34" s="21">
        <v>2</v>
      </c>
      <c r="F34" s="17">
        <v>500</v>
      </c>
      <c r="G34" s="24" t="s">
        <v>29</v>
      </c>
      <c r="H34" s="17" t="s">
        <v>40</v>
      </c>
      <c r="I34" s="21">
        <v>0</v>
      </c>
      <c r="J34" s="25">
        <v>500</v>
      </c>
      <c r="K34" s="26" t="s">
        <v>93</v>
      </c>
      <c r="L34" s="19" t="s">
        <v>102</v>
      </c>
    </row>
    <row customHeight="true" ht="26.666666666666664" r="35">
      <c r="A35" s="20"/>
      <c r="B35" s="21">
        <v>31</v>
      </c>
      <c r="C35" s="22" t="s">
        <v>103</v>
      </c>
      <c r="D35" s="47" t="s">
        <v>104</v>
      </c>
      <c r="E35" s="21">
        <v>2</v>
      </c>
      <c r="F35" s="17">
        <v>0</v>
      </c>
      <c r="G35" s="24" t="s">
        <v>29</v>
      </c>
      <c r="H35" s="17" t="s">
        <v>40</v>
      </c>
      <c r="I35" s="21">
        <v>-2047</v>
      </c>
      <c r="J35" s="21">
        <v>2047</v>
      </c>
      <c r="K35" s="26" t="s">
        <v>54</v>
      </c>
      <c r="L35" s="18" t="s">
        <v>105</v>
      </c>
    </row>
    <row customHeight="true" ht="144.44444444444443" r="36">
      <c r="A36" s="20"/>
      <c r="B36" s="21">
        <v>33</v>
      </c>
      <c r="C36" s="22" t="s">
        <v>106</v>
      </c>
      <c r="D36" s="23" t="s">
        <v>107</v>
      </c>
      <c r="E36" s="21">
        <v>1</v>
      </c>
      <c r="F36" s="17">
        <v>0</v>
      </c>
      <c r="G36" s="24" t="s">
        <v>29</v>
      </c>
      <c r="H36" s="17" t="s">
        <v>40</v>
      </c>
      <c r="I36" s="21">
        <v>0</v>
      </c>
      <c r="J36" s="21">
        <v>2</v>
      </c>
      <c r="K36" s="26" t="s">
        <v>41</v>
      </c>
      <c r="L36" s="19" t="s">
        <v>108</v>
      </c>
    </row>
    <row customHeight="true" ht="26.666666666666664" r="37">
      <c r="A37" s="20"/>
      <c r="B37" s="21">
        <v>34</v>
      </c>
      <c r="C37" s="22" t="s">
        <v>109</v>
      </c>
      <c r="D37" s="48" t="s">
        <v>110</v>
      </c>
      <c r="E37" s="30">
        <v>1</v>
      </c>
      <c r="F37" s="30">
        <v>200</v>
      </c>
      <c r="G37" s="32" t="s">
        <v>29</v>
      </c>
      <c r="H37" s="30" t="s">
        <v>40</v>
      </c>
      <c r="I37" s="44">
        <v>0</v>
      </c>
      <c r="J37" s="30">
        <v>255</v>
      </c>
      <c r="K37" s="45" t="s">
        <v>41</v>
      </c>
      <c r="L37" s="34" t="s">
        <v>111</v>
      </c>
    </row>
    <row customHeight="true" ht="40" r="38">
      <c r="A38" s="20"/>
      <c r="B38" s="21">
        <v>35</v>
      </c>
      <c r="C38" s="22" t="s">
        <v>112</v>
      </c>
      <c r="D38" s="49" t="s">
        <v>113</v>
      </c>
      <c r="E38" s="50">
        <v>1</v>
      </c>
      <c r="F38" s="50">
        <v>50</v>
      </c>
      <c r="G38" s="51" t="s">
        <v>29</v>
      </c>
      <c r="H38" s="50" t="s">
        <v>40</v>
      </c>
      <c r="I38" s="50">
        <v>0</v>
      </c>
      <c r="J38" s="50">
        <v>255</v>
      </c>
      <c r="K38" s="52" t="s">
        <v>41</v>
      </c>
      <c r="L38" s="53" t="s">
        <v>114</v>
      </c>
    </row>
    <row customHeight="true" ht="26.666666666666664" r="39">
      <c r="A39" s="20"/>
      <c r="B39" s="21">
        <v>36</v>
      </c>
      <c r="C39" s="22" t="s">
        <v>115</v>
      </c>
      <c r="D39" s="49" t="s">
        <v>116</v>
      </c>
      <c r="E39" s="50">
        <v>1</v>
      </c>
      <c r="F39" s="50">
        <v>80</v>
      </c>
      <c r="G39" s="51" t="s">
        <v>29</v>
      </c>
      <c r="H39" s="50" t="s">
        <v>40</v>
      </c>
      <c r="I39" s="54">
        <v>0</v>
      </c>
      <c r="J39" s="50">
        <v>100</v>
      </c>
      <c r="K39" s="55" t="s">
        <v>93</v>
      </c>
      <c r="L39" s="53" t="s">
        <v>117</v>
      </c>
    </row>
    <row customHeight="true" ht="31.11111111111111" r="40">
      <c r="A40" s="20"/>
      <c r="B40" s="21">
        <v>37</v>
      </c>
      <c r="C40" s="22" t="s">
        <v>118</v>
      </c>
      <c r="D40" s="56" t="s">
        <v>119</v>
      </c>
      <c r="E40" s="21">
        <v>1</v>
      </c>
      <c r="F40" s="17">
        <v>10</v>
      </c>
      <c r="G40" s="24" t="s">
        <v>29</v>
      </c>
      <c r="H40" s="17" t="s">
        <v>40</v>
      </c>
      <c r="I40" s="21">
        <v>0</v>
      </c>
      <c r="J40" s="21">
        <v>254</v>
      </c>
      <c r="K40" s="26" t="s">
        <v>41</v>
      </c>
      <c r="L40" s="57" t="s">
        <v>120</v>
      </c>
    </row>
    <row customHeight="true" ht="31.11111111111111" r="41">
      <c r="A41" s="20"/>
      <c r="B41" s="21">
        <v>38</v>
      </c>
      <c r="C41" s="22" t="s">
        <v>121</v>
      </c>
      <c r="D41" s="56" t="s">
        <v>122</v>
      </c>
      <c r="E41" s="21">
        <v>1</v>
      </c>
      <c r="F41" s="17">
        <v>200</v>
      </c>
      <c r="G41" s="24" t="s">
        <v>29</v>
      </c>
      <c r="H41" s="17" t="s">
        <v>40</v>
      </c>
      <c r="I41" s="21">
        <v>0</v>
      </c>
      <c r="J41" s="21">
        <v>254</v>
      </c>
      <c r="K41" s="21" t="s">
        <v>123</v>
      </c>
      <c r="L41" s="18" t="s">
        <v>124</v>
      </c>
    </row>
    <row customHeight="true" ht="31.11111111111111" r="42">
      <c r="A42" s="20"/>
      <c r="B42" s="21">
        <v>39</v>
      </c>
      <c r="C42" s="22" t="s">
        <v>125</v>
      </c>
      <c r="D42" s="56" t="s">
        <v>126</v>
      </c>
      <c r="E42" s="21">
        <v>1</v>
      </c>
      <c r="F42" s="17">
        <v>10</v>
      </c>
      <c r="G42" s="24" t="s">
        <v>29</v>
      </c>
      <c r="H42" s="17" t="s">
        <v>40</v>
      </c>
      <c r="I42" s="21">
        <v>0</v>
      </c>
      <c r="J42" s="21">
        <v>254</v>
      </c>
      <c r="K42" s="26" t="s">
        <v>41</v>
      </c>
      <c r="L42" s="57" t="s">
        <v>127</v>
      </c>
    </row>
    <row customHeight="true" ht="26.666666666666664" r="43">
      <c r="A43" s="20"/>
      <c r="B43" s="21">
        <v>40</v>
      </c>
      <c r="C43" s="22" t="s">
        <v>128</v>
      </c>
      <c r="D43" s="56" t="s">
        <v>129</v>
      </c>
      <c r="E43" s="21">
        <v>1</v>
      </c>
      <c r="F43" s="17">
        <v>0</v>
      </c>
      <c r="G43" s="58" t="s">
        <v>130</v>
      </c>
      <c r="H43" s="17" t="s">
        <v>40</v>
      </c>
      <c r="I43" s="21">
        <v>0</v>
      </c>
      <c r="J43" s="21">
        <v>2</v>
      </c>
      <c r="K43" s="26" t="s">
        <v>41</v>
      </c>
      <c r="L43" s="19" t="s">
        <v>131</v>
      </c>
    </row>
    <row customHeight="true" ht="47.51965029630574" r="44">
      <c r="A44" s="20"/>
      <c r="B44" s="21">
        <v>41</v>
      </c>
      <c r="C44" s="22" t="s">
        <v>132</v>
      </c>
      <c r="D44" s="56" t="s">
        <v>133</v>
      </c>
      <c r="E44" s="21">
        <v>1</v>
      </c>
      <c r="F44" s="17">
        <v>0</v>
      </c>
      <c r="G44" s="58" t="s">
        <v>130</v>
      </c>
      <c r="H44" s="17" t="s">
        <v>40</v>
      </c>
      <c r="I44" s="21">
        <v>0</v>
      </c>
      <c r="J44" s="21">
        <v>254</v>
      </c>
      <c r="K44" s="17" t="s">
        <v>134</v>
      </c>
      <c r="L44" s="59" t="s">
        <v>135</v>
      </c>
    </row>
    <row customHeight="true" ht="53.33333333333333" r="45">
      <c r="A45" s="20"/>
      <c r="B45" s="21">
        <v>42</v>
      </c>
      <c r="C45" s="22" t="s">
        <v>136</v>
      </c>
      <c r="D45" s="56" t="s">
        <v>137</v>
      </c>
      <c r="E45" s="21">
        <v>2</v>
      </c>
      <c r="F45" s="17">
        <v>0</v>
      </c>
      <c r="G45" s="58" t="s">
        <v>130</v>
      </c>
      <c r="H45" s="17" t="s">
        <v>40</v>
      </c>
      <c r="I45" s="21">
        <v>-32766</v>
      </c>
      <c r="J45" s="21">
        <v>32766</v>
      </c>
      <c r="K45" s="26" t="s">
        <v>54</v>
      </c>
      <c r="L45" s="60" t="s">
        <v>138</v>
      </c>
    </row>
    <row customHeight="true" ht="41.48148148148148" r="46">
      <c r="A46" s="20"/>
      <c r="B46" s="27">
        <v>44</v>
      </c>
      <c r="C46" s="28" t="s">
        <v>139</v>
      </c>
      <c r="D46" s="29" t="s">
        <v>140</v>
      </c>
      <c r="E46" s="30">
        <v>2</v>
      </c>
      <c r="F46" s="30" t="s">
        <v>141</v>
      </c>
      <c r="G46" s="58" t="s">
        <v>130</v>
      </c>
      <c r="H46" s="30" t="s">
        <v>40</v>
      </c>
      <c r="I46" s="38">
        <v>-2047</v>
      </c>
      <c r="J46" s="30">
        <v>2047</v>
      </c>
      <c r="K46" s="39" t="s">
        <v>93</v>
      </c>
      <c r="L46" s="46" t="s">
        <v>142</v>
      </c>
    </row>
    <row customHeight="true" ht="26.666666666666664" r="47">
      <c r="A47" s="20"/>
      <c r="B47" s="21">
        <v>46</v>
      </c>
      <c r="C47" s="22" t="s">
        <v>143</v>
      </c>
      <c r="D47" s="56" t="s">
        <v>144</v>
      </c>
      <c r="E47" s="21">
        <v>2</v>
      </c>
      <c r="F47" s="17">
        <v>0</v>
      </c>
      <c r="G47" s="58" t="s">
        <v>130</v>
      </c>
      <c r="H47" s="17" t="s">
        <v>40</v>
      </c>
      <c r="I47" s="21">
        <v>0</v>
      </c>
      <c r="J47" s="21">
        <v>254</v>
      </c>
      <c r="K47" s="11" t="s">
        <v>54</v>
      </c>
      <c r="L47" s="19" t="s">
        <v>145</v>
      </c>
    </row>
    <row customHeight="true" ht="40" r="48">
      <c r="A48" s="20"/>
      <c r="B48" s="61">
        <v>48</v>
      </c>
      <c r="C48" s="62" t="s">
        <v>146</v>
      </c>
      <c r="D48" s="60" t="s">
        <v>147</v>
      </c>
      <c r="E48" s="26">
        <v>2</v>
      </c>
      <c r="F48" s="26">
        <v>1000</v>
      </c>
      <c r="G48" s="58" t="s">
        <v>130</v>
      </c>
      <c r="H48" s="26" t="s">
        <v>40</v>
      </c>
      <c r="I48" s="26">
        <v>0</v>
      </c>
      <c r="J48" s="26">
        <v>1000</v>
      </c>
      <c r="K48" s="26">
        <v>0.001</v>
      </c>
      <c r="L48" s="60" t="s">
        <v>148</v>
      </c>
      <c r="N48" s="19"/>
    </row>
    <row customHeight="true" ht="35.55555555555555" r="49">
      <c r="A49" s="20"/>
      <c r="B49" s="27">
        <v>50</v>
      </c>
      <c r="C49" s="28" t="s">
        <v>149</v>
      </c>
      <c r="D49" s="29" t="s">
        <v>150</v>
      </c>
      <c r="E49" s="30">
        <v>1</v>
      </c>
      <c r="F49" s="30" t="s">
        <v>141</v>
      </c>
      <c r="G49" s="58" t="s">
        <v>130</v>
      </c>
      <c r="H49" s="30" t="s">
        <v>40</v>
      </c>
      <c r="I49" s="30">
        <v>0</v>
      </c>
      <c r="J49" s="30">
        <v>255</v>
      </c>
      <c r="K49" s="63" t="s">
        <v>41</v>
      </c>
      <c r="L49" s="34" t="s">
        <v>151</v>
      </c>
    </row>
    <row customHeight="true" ht="30.370370370370367" r="50">
      <c r="A50" s="20"/>
      <c r="B50" s="64">
        <v>51</v>
      </c>
      <c r="C50" s="65" t="s">
        <v>152</v>
      </c>
      <c r="D50" s="66" t="s">
        <v>153</v>
      </c>
      <c r="E50" s="50">
        <v>1</v>
      </c>
      <c r="F50" s="50" t="s">
        <v>141</v>
      </c>
      <c r="G50" s="58" t="s">
        <v>130</v>
      </c>
      <c r="H50" s="50" t="s">
        <v>40</v>
      </c>
      <c r="I50" s="50">
        <v>0</v>
      </c>
      <c r="J50" s="50">
        <v>255</v>
      </c>
      <c r="K50" s="52" t="s">
        <v>41</v>
      </c>
      <c r="L50" s="53" t="s">
        <v>154</v>
      </c>
    </row>
    <row customHeight="true" ht="28.148148148148145" r="51">
      <c r="A51" s="20"/>
      <c r="B51" s="64">
        <v>52</v>
      </c>
      <c r="C51" s="65" t="s">
        <v>155</v>
      </c>
      <c r="D51" s="66" t="s">
        <v>156</v>
      </c>
      <c r="E51" s="50">
        <v>1</v>
      </c>
      <c r="F51" s="50" t="s">
        <v>141</v>
      </c>
      <c r="G51" s="58" t="s">
        <v>130</v>
      </c>
      <c r="H51" s="50" t="s">
        <v>40</v>
      </c>
      <c r="I51" s="50">
        <v>0</v>
      </c>
      <c r="J51" s="50">
        <v>255</v>
      </c>
      <c r="K51" s="52" t="s">
        <v>41</v>
      </c>
      <c r="L51" s="53" t="s">
        <v>157</v>
      </c>
    </row>
    <row customHeight="true" ht="53.33333333333333" r="52">
      <c r="A52" s="20"/>
      <c r="B52" s="27">
        <v>55</v>
      </c>
      <c r="C52" s="28" t="s">
        <v>158</v>
      </c>
      <c r="D52" s="29" t="s">
        <v>159</v>
      </c>
      <c r="E52" s="30">
        <v>1</v>
      </c>
      <c r="F52" s="30">
        <v>0</v>
      </c>
      <c r="G52" s="58" t="s">
        <v>130</v>
      </c>
      <c r="H52" s="30" t="s">
        <v>40</v>
      </c>
      <c r="I52" s="30">
        <v>0</v>
      </c>
      <c r="J52" s="30">
        <v>1</v>
      </c>
      <c r="K52" s="63" t="s">
        <v>41</v>
      </c>
      <c r="L52" s="34" t="s">
        <v>160</v>
      </c>
    </row>
    <row customHeight="true" ht="26.666666666666664" r="53">
      <c r="A53" s="20"/>
      <c r="B53" s="21">
        <v>56</v>
      </c>
      <c r="C53" s="22" t="s">
        <v>161</v>
      </c>
      <c r="D53" s="37" t="s">
        <v>162</v>
      </c>
      <c r="E53" s="21">
        <v>2</v>
      </c>
      <c r="F53" s="17">
        <v>0</v>
      </c>
      <c r="G53" s="58" t="s">
        <v>130</v>
      </c>
      <c r="H53" s="17" t="s">
        <v>163</v>
      </c>
      <c r="I53" s="27" t="s">
        <v>31</v>
      </c>
      <c r="J53" s="30" t="s">
        <v>31</v>
      </c>
      <c r="K53" s="26" t="s">
        <v>54</v>
      </c>
      <c r="L53" s="18" t="s">
        <v>164</v>
      </c>
    </row>
    <row customHeight="true" ht="26.666666666666664" r="54">
      <c r="A54" s="37"/>
      <c r="B54" s="33">
        <v>58</v>
      </c>
      <c r="C54" s="22" t="s">
        <v>165</v>
      </c>
      <c r="D54" s="56" t="s">
        <v>166</v>
      </c>
      <c r="E54" s="21">
        <v>2</v>
      </c>
      <c r="F54" s="17">
        <v>0</v>
      </c>
      <c r="G54" s="58" t="s">
        <v>130</v>
      </c>
      <c r="H54" s="17" t="s">
        <v>163</v>
      </c>
      <c r="I54" s="64" t="s">
        <v>31</v>
      </c>
      <c r="J54" s="50" t="s">
        <v>31</v>
      </c>
      <c r="K54" s="11" t="s">
        <v>54</v>
      </c>
      <c r="L54" s="18" t="s">
        <v>167</v>
      </c>
    </row>
    <row customHeight="true" ht="15.555555555555555" r="55">
      <c r="A55" s="37"/>
      <c r="B55" s="33">
        <v>60</v>
      </c>
      <c r="C55" s="33" t="s">
        <v>168</v>
      </c>
      <c r="D55" s="37" t="s">
        <v>169</v>
      </c>
      <c r="E55" s="33">
        <v>2</v>
      </c>
      <c r="F55" s="33">
        <v>0</v>
      </c>
      <c r="G55" s="58" t="s">
        <v>130</v>
      </c>
      <c r="H55" s="33" t="s">
        <v>163</v>
      </c>
      <c r="I55" s="33" t="s">
        <v>31</v>
      </c>
      <c r="J55" s="33" t="s">
        <v>31</v>
      </c>
      <c r="K55" s="33">
        <v>0.001</v>
      </c>
      <c r="L55" s="37" t="s">
        <v>170</v>
      </c>
      <c r="P55" s="67"/>
      <c r="Q55" s="67"/>
    </row>
    <row customHeight="true" ht="15.555555555555555" r="56">
      <c r="A56" s="20"/>
      <c r="B56" s="21">
        <v>62</v>
      </c>
      <c r="C56" s="22" t="s">
        <v>171</v>
      </c>
      <c r="D56" s="56" t="s">
        <v>172</v>
      </c>
      <c r="E56" s="21">
        <v>1</v>
      </c>
      <c r="F56" s="17">
        <v>0</v>
      </c>
      <c r="G56" s="58" t="s">
        <v>130</v>
      </c>
      <c r="H56" s="17" t="s">
        <v>163</v>
      </c>
      <c r="I56" s="64" t="s">
        <v>31</v>
      </c>
      <c r="J56" s="50" t="s">
        <v>31</v>
      </c>
      <c r="K56" s="17" t="s">
        <v>65</v>
      </c>
      <c r="L56" s="18" t="s">
        <v>173</v>
      </c>
    </row>
    <row customHeight="true" ht="15.555555555555555" r="57">
      <c r="A57" s="20"/>
      <c r="B57" s="21">
        <v>63</v>
      </c>
      <c r="C57" s="22" t="s">
        <v>174</v>
      </c>
      <c r="D57" s="56" t="s">
        <v>175</v>
      </c>
      <c r="E57" s="21">
        <v>1</v>
      </c>
      <c r="F57" s="33">
        <v>0</v>
      </c>
      <c r="G57" s="58" t="s">
        <v>130</v>
      </c>
      <c r="H57" s="17" t="s">
        <v>163</v>
      </c>
      <c r="I57" s="64" t="s">
        <v>31</v>
      </c>
      <c r="J57" s="50" t="s">
        <v>31</v>
      </c>
      <c r="K57" s="17" t="s">
        <v>61</v>
      </c>
      <c r="L57" s="18" t="s">
        <v>176</v>
      </c>
    </row>
    <row customHeight="true" ht="15.555555555555555" r="58">
      <c r="A58" s="20"/>
      <c r="B58" s="21">
        <v>64</v>
      </c>
      <c r="C58" s="22" t="s">
        <v>177</v>
      </c>
      <c r="D58" s="56" t="s">
        <v>178</v>
      </c>
      <c r="E58" s="21">
        <v>1</v>
      </c>
      <c r="F58" s="17">
        <v>0</v>
      </c>
      <c r="G58" s="58" t="s">
        <v>130</v>
      </c>
      <c r="H58" s="17" t="s">
        <v>163</v>
      </c>
      <c r="I58" s="64" t="s">
        <v>31</v>
      </c>
      <c r="J58" s="50" t="s">
        <v>31</v>
      </c>
      <c r="K58" s="26" t="s">
        <v>41</v>
      </c>
      <c r="L58" s="18" t="s">
        <v>179</v>
      </c>
    </row>
    <row customHeight="true" ht="26.666666666666664" r="59">
      <c r="A59" s="20"/>
      <c r="B59" s="21">
        <v>66</v>
      </c>
      <c r="C59" s="22" t="s">
        <v>180</v>
      </c>
      <c r="D59" s="56" t="s">
        <v>181</v>
      </c>
      <c r="E59" s="21">
        <v>1</v>
      </c>
      <c r="F59" s="17">
        <v>0</v>
      </c>
      <c r="G59" s="58" t="s">
        <v>130</v>
      </c>
      <c r="H59" s="17" t="s">
        <v>163</v>
      </c>
      <c r="I59" s="27" t="s">
        <v>31</v>
      </c>
      <c r="J59" s="30" t="s">
        <v>31</v>
      </c>
      <c r="K59" s="26" t="s">
        <v>41</v>
      </c>
      <c r="L59" s="18" t="s">
        <v>182</v>
      </c>
    </row>
    <row customHeight="true" ht="15.555555555555555" r="60">
      <c r="A60" s="20"/>
      <c r="B60" s="25">
        <v>67</v>
      </c>
      <c r="C60" s="68" t="s">
        <v>183</v>
      </c>
      <c r="D60" s="69" t="s">
        <v>184</v>
      </c>
      <c r="E60" s="21">
        <v>2</v>
      </c>
      <c r="F60" s="17">
        <v>0</v>
      </c>
      <c r="G60" s="58" t="s">
        <v>130</v>
      </c>
      <c r="H60" s="17" t="s">
        <v>163</v>
      </c>
      <c r="I60" s="64" t="s">
        <v>31</v>
      </c>
      <c r="J60" s="50" t="s">
        <v>31</v>
      </c>
      <c r="K60" s="26" t="s">
        <v>54</v>
      </c>
      <c r="L60" s="19" t="s">
        <v>185</v>
      </c>
    </row>
    <row r="61">
      <c r="A61" s="3"/>
      <c r="B61" s="6"/>
      <c r="C61" s="6"/>
      <c r="D61" s="3"/>
      <c r="E61" s="6"/>
      <c r="F61" s="9"/>
      <c r="G61" s="6"/>
      <c r="H61" s="6"/>
      <c r="I61" s="6"/>
      <c r="J61" s="6"/>
      <c r="K61" s="6"/>
      <c r="L61" s="3"/>
    </row>
  </sheetData>
  <mergeCells>
    <mergeCell ref="A1:H1"/>
    <mergeCell ref="B2:L2"/>
    <mergeCell ref="C3:D3"/>
    <mergeCell ref="G3:I3"/>
    <mergeCell ref="C4:D4"/>
    <mergeCell ref="G4:I4"/>
    <mergeCell ref="C5:D5"/>
    <mergeCell ref="F5:L5"/>
    <mergeCell ref="C6:D6"/>
    <mergeCell ref="G6:I6"/>
    <mergeCell ref="C7:D7"/>
    <mergeCell ref="G7:I7"/>
    <mergeCell ref="C8:D8"/>
    <mergeCell ref="G8:I8"/>
    <mergeCell ref="B9:C9"/>
  </mergeCells>
  <legacy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0"/>
  <cols>
    <col collapsed="false" customWidth="true" hidden="false" max="3" min="3" style="0" width="17.933333333333334"/>
    <col collapsed="false" customWidth="true" hidden="false" max="7" min="7" style="0" width="22.866666666666667"/>
    <col collapsed="false" customWidth="true" hidden="false" max="11" min="11" style="0" width="11.266666666666667"/>
    <col collapsed="false" customWidth="true" hidden="false" max="15" min="15" style="0" width="17.133333333333333"/>
    <col collapsed="false" customWidth="true" hidden="false" max="19" min="19" style="0" width="9.4"/>
    <col collapsed="false" customWidth="true" hidden="false" max="2" min="2" style="0" width="9.4"/>
    <col collapsed="false" customWidth="true" hidden="false" max="6" min="6" style="0" width="27.266666666666666"/>
    <col collapsed="false" customWidth="true" hidden="false" max="10" min="10" style="0" width="18.2"/>
    <col collapsed="false" customWidth="true" hidden="false" max="14" min="14" style="0" width="15.666666666666666"/>
    <col collapsed="false" customWidth="true" hidden="false" max="18" min="18" style="0" width="9.4"/>
    <col collapsed="false" customWidth="true" hidden="false" max="1" min="1" style="0" width="9.4"/>
    <col collapsed="false" customWidth="true" hidden="false" max="5" min="5" style="0" width="6.066666666666666"/>
    <col collapsed="false" customWidth="true" hidden="false" max="9" min="9" style="0" width="20.866666666666667"/>
    <col collapsed="false" customWidth="true" hidden="false" max="13" min="13" style="0" width="15.666666666666666"/>
    <col collapsed="false" customWidth="true" hidden="false" max="17" min="17" style="0" width="11.8"/>
    <col collapsed="false" customWidth="true" hidden="false" max="4" min="4" style="0" width="6.066666666666666"/>
    <col collapsed="false" customWidth="true" hidden="false" max="8" min="8" style="0" width="15.666666666666666"/>
    <col collapsed="false" customWidth="true" hidden="false" max="12" min="12" style="0" width="14.466666666666667"/>
    <col collapsed="false" customWidth="true" hidden="false" max="16" min="16" style="0" width="11.8"/>
    <col collapsed="false" customWidth="true" hidden="false" max="20" min="20" style="0" width="9.4"/>
  </cols>
  <sheetData>
    <row customHeight="true" ht="16.296296296296294" r="1">
      <c r="A1" s="70"/>
      <c r="B1" s="71"/>
      <c r="C1" s="71"/>
      <c r="D1" s="71"/>
      <c r="E1" s="72" t="s">
        <v>186</v>
      </c>
      <c r="F1" s="72"/>
      <c r="G1" s="72"/>
      <c r="H1" s="73" t="s">
        <v>187</v>
      </c>
      <c r="I1" s="73"/>
      <c r="J1" s="71"/>
      <c r="K1" s="71"/>
      <c r="L1" s="71"/>
      <c r="M1" s="71"/>
      <c r="N1" s="71"/>
      <c r="O1" s="71"/>
      <c r="P1" s="71"/>
      <c r="Q1" s="70"/>
      <c r="R1" s="70"/>
      <c r="S1" s="70"/>
      <c r="T1" s="70"/>
    </row>
    <row customHeight="true" ht="16.296296296296294" r="2">
      <c r="A2" s="70"/>
      <c r="B2" s="71"/>
      <c r="C2" s="71"/>
      <c r="D2" s="71"/>
      <c r="E2" s="74" t="s">
        <v>188</v>
      </c>
      <c r="F2" s="74"/>
      <c r="G2" s="74" t="s">
        <v>189</v>
      </c>
      <c r="H2" s="73" t="s">
        <v>190</v>
      </c>
      <c r="I2" s="73"/>
      <c r="J2" s="71"/>
      <c r="K2" s="71"/>
      <c r="L2" s="71"/>
      <c r="M2" s="71"/>
      <c r="N2" s="71"/>
      <c r="O2" s="71"/>
      <c r="P2" s="71"/>
      <c r="Q2" s="70"/>
      <c r="R2" s="70"/>
      <c r="S2" s="70"/>
      <c r="T2" s="70"/>
    </row>
    <row customHeight="true" ht="16.296296296296294" r="3">
      <c r="A3" s="70"/>
      <c r="B3" s="71"/>
      <c r="C3" s="71"/>
      <c r="D3" s="71"/>
      <c r="E3" s="75" t="s">
        <v>191</v>
      </c>
      <c r="F3" s="75"/>
      <c r="G3" s="76">
        <v>254</v>
      </c>
      <c r="H3" s="73" t="s">
        <v>192</v>
      </c>
      <c r="I3" s="73"/>
      <c r="J3" s="71"/>
      <c r="K3" s="71"/>
      <c r="L3" s="71"/>
      <c r="M3" s="71"/>
      <c r="N3" s="71"/>
      <c r="O3" s="71"/>
      <c r="P3" s="71"/>
      <c r="Q3" s="70"/>
      <c r="R3" s="70"/>
      <c r="S3" s="70"/>
      <c r="T3" s="70"/>
    </row>
    <row customHeight="true" ht="16.296296296296294" r="4">
      <c r="A4" s="70"/>
      <c r="B4" s="71"/>
      <c r="C4" s="71"/>
      <c r="D4" s="71"/>
      <c r="E4" s="75" t="s">
        <v>193</v>
      </c>
      <c r="F4" s="75"/>
      <c r="G4" s="76">
        <v>3</v>
      </c>
      <c r="H4" s="71"/>
      <c r="I4" s="71"/>
      <c r="J4" s="71"/>
      <c r="K4" s="71"/>
      <c r="L4" s="71"/>
      <c r="M4" s="71"/>
      <c r="N4" s="71"/>
      <c r="O4" s="71"/>
      <c r="P4" s="71"/>
      <c r="Q4" s="70"/>
      <c r="R4" s="70"/>
      <c r="S4" s="70"/>
      <c r="T4" s="70"/>
    </row>
    <row customHeight="true" ht="16.296296296296294" r="5">
      <c r="A5" s="70"/>
      <c r="B5" s="71"/>
      <c r="C5" s="71"/>
      <c r="D5" s="71"/>
      <c r="E5" s="75" t="s">
        <v>194</v>
      </c>
      <c r="F5" s="75"/>
      <c r="G5" s="76">
        <v>55</v>
      </c>
      <c r="H5" s="73"/>
      <c r="I5" s="73"/>
      <c r="J5" s="71"/>
      <c r="K5" s="71"/>
      <c r="L5" s="71"/>
      <c r="M5" s="71"/>
      <c r="N5" s="71"/>
      <c r="O5" s="71"/>
      <c r="P5" s="71"/>
      <c r="Q5" s="70"/>
      <c r="R5" s="70"/>
      <c r="S5" s="70"/>
      <c r="T5" s="70"/>
    </row>
    <row customHeight="true" ht="16.296296296296294" r="6">
      <c r="A6" s="70"/>
      <c r="B6" s="71"/>
      <c r="C6" s="71"/>
      <c r="D6" s="71"/>
      <c r="E6" s="75" t="s">
        <v>195</v>
      </c>
      <c r="F6" s="75"/>
      <c r="G6" s="76">
        <v>0</v>
      </c>
      <c r="H6" s="71" t="s">
        <v>196</v>
      </c>
      <c r="I6" s="71" t="s">
        <v>197</v>
      </c>
      <c r="J6" s="71"/>
      <c r="K6" s="71"/>
      <c r="L6" s="71"/>
      <c r="M6" s="71"/>
      <c r="N6" s="71"/>
      <c r="O6" s="71"/>
      <c r="P6" s="71"/>
      <c r="Q6" s="70"/>
      <c r="R6" s="70"/>
      <c r="S6" s="70"/>
      <c r="T6" s="70"/>
    </row>
    <row customHeight="true" ht="34.81481481481481" r="7">
      <c r="A7" s="70"/>
      <c r="B7" s="71"/>
      <c r="C7" s="72" t="s">
        <v>198</v>
      </c>
      <c r="D7" s="72"/>
      <c r="E7" s="72"/>
      <c r="F7" s="72"/>
      <c r="G7" s="72"/>
      <c r="H7" s="72"/>
      <c r="I7" s="72"/>
      <c r="J7" s="72"/>
      <c r="K7" s="72"/>
      <c r="L7" s="71"/>
      <c r="M7" s="71"/>
      <c r="N7" s="71"/>
      <c r="O7" s="71"/>
      <c r="P7" s="71"/>
      <c r="Q7" s="70"/>
      <c r="R7" s="70"/>
      <c r="S7" s="70"/>
      <c r="T7" s="70"/>
    </row>
    <row customHeight="true" ht="35.55555555555555" r="8">
      <c r="A8" s="70"/>
      <c r="B8" s="71"/>
      <c r="C8" s="77" t="s">
        <v>199</v>
      </c>
      <c r="D8" s="78" t="s">
        <v>200</v>
      </c>
      <c r="E8" s="78"/>
      <c r="F8" s="74" t="s">
        <v>191</v>
      </c>
      <c r="G8" s="74" t="s">
        <v>201</v>
      </c>
      <c r="H8" s="74" t="s">
        <v>202</v>
      </c>
      <c r="I8" s="74" t="s">
        <v>203</v>
      </c>
      <c r="J8" s="74" t="s">
        <v>204</v>
      </c>
      <c r="K8" s="74" t="s">
        <v>205</v>
      </c>
      <c r="L8" s="71"/>
      <c r="M8" s="71"/>
      <c r="N8" s="71"/>
      <c r="O8" s="71"/>
      <c r="P8" s="71"/>
      <c r="Q8" s="70"/>
      <c r="R8" s="70"/>
      <c r="S8" s="70"/>
      <c r="T8" s="70"/>
    </row>
    <row customHeight="true" ht="16.296296296296294" r="9">
      <c r="A9" s="70"/>
      <c r="B9" s="71"/>
      <c r="C9" s="77" t="s">
        <v>199</v>
      </c>
      <c r="D9" s="74" t="s">
        <v>206</v>
      </c>
      <c r="E9" s="74" t="s">
        <v>206</v>
      </c>
      <c r="F9" s="74" t="s">
        <v>207</v>
      </c>
      <c r="G9" s="79" t="s">
        <v>208</v>
      </c>
      <c r="H9" s="79" t="s">
        <v>209</v>
      </c>
      <c r="I9" s="79" t="s">
        <v>210</v>
      </c>
      <c r="J9" s="79" t="s">
        <v>211</v>
      </c>
      <c r="K9" s="74" t="s">
        <v>212</v>
      </c>
      <c r="L9" s="71"/>
      <c r="M9" s="71"/>
      <c r="N9" s="71"/>
      <c r="O9" s="71"/>
      <c r="P9" s="71"/>
      <c r="Q9" s="70"/>
      <c r="R9" s="70"/>
      <c r="S9" s="70"/>
      <c r="T9" s="70"/>
    </row>
    <row customHeight="true" ht="16.296296296296294" r="10">
      <c r="A10" s="70"/>
      <c r="B10" s="71"/>
      <c r="C10" s="74" t="s">
        <v>213</v>
      </c>
      <c r="D10" s="74">
        <v>255</v>
      </c>
      <c r="E10" s="74">
        <v>255</v>
      </c>
      <c r="F10" s="74">
        <v>254</v>
      </c>
      <c r="G10" s="74">
        <v>4</v>
      </c>
      <c r="H10" s="74">
        <v>3</v>
      </c>
      <c r="I10" s="74">
        <v>55</v>
      </c>
      <c r="J10" s="74">
        <v>0</v>
      </c>
      <c r="K10" s="74">
        <v>195</v>
      </c>
      <c r="L10" s="71"/>
      <c r="M10" s="71"/>
      <c r="N10" s="71"/>
      <c r="O10" s="71"/>
      <c r="P10" s="71"/>
      <c r="Q10" s="70"/>
      <c r="R10" s="70"/>
      <c r="S10" s="70"/>
      <c r="T10" s="70"/>
    </row>
    <row customHeight="true" ht="50.37037037037037" r="11">
      <c r="A11" s="70"/>
      <c r="B11" s="71"/>
      <c r="C11" s="80" t="s">
        <v>214</v>
      </c>
      <c r="D11" s="80" t="s">
        <v>215</v>
      </c>
      <c r="E11" s="80"/>
      <c r="F11" s="80"/>
      <c r="G11" s="80"/>
      <c r="H11" s="80"/>
      <c r="I11" s="80"/>
      <c r="J11" s="80"/>
      <c r="K11" s="80"/>
      <c r="L11" s="71"/>
      <c r="M11" s="71"/>
      <c r="N11" s="71"/>
      <c r="O11" s="71"/>
      <c r="P11" s="71"/>
      <c r="Q11" s="70"/>
      <c r="R11" s="70"/>
      <c r="S11" s="70"/>
      <c r="T11" s="70"/>
    </row>
    <row customHeight="true" ht="16.296296296296294" r="12">
      <c r="A12" s="70"/>
      <c r="B12" s="71"/>
      <c r="C12" s="71"/>
      <c r="D12" s="71"/>
      <c r="E12" s="73"/>
      <c r="F12" s="73"/>
      <c r="G12" s="73"/>
      <c r="H12" s="73"/>
      <c r="I12" s="73"/>
      <c r="J12" s="71"/>
      <c r="K12" s="71"/>
      <c r="L12" s="71"/>
      <c r="M12" s="71"/>
      <c r="N12" s="71"/>
      <c r="O12" s="71"/>
      <c r="P12" s="71"/>
      <c r="Q12" s="70"/>
      <c r="R12" s="70"/>
      <c r="S12" s="70"/>
      <c r="T12" s="70"/>
    </row>
    <row customHeight="true" ht="16.296296296296294" r="13">
      <c r="A13" s="70"/>
      <c r="B13" s="71"/>
      <c r="C13" s="71"/>
      <c r="D13" s="71"/>
      <c r="E13" s="81" t="s">
        <v>195</v>
      </c>
      <c r="F13" s="81"/>
      <c r="G13" s="81"/>
      <c r="H13" s="73" t="s">
        <v>187</v>
      </c>
      <c r="I13" s="73"/>
      <c r="J13" s="71"/>
      <c r="K13" s="71"/>
      <c r="L13" s="71"/>
      <c r="M13" s="71"/>
      <c r="N13" s="71"/>
      <c r="O13" s="71"/>
      <c r="P13" s="71"/>
      <c r="Q13" s="70"/>
      <c r="R13" s="70"/>
      <c r="S13" s="70"/>
      <c r="T13" s="70"/>
    </row>
    <row customHeight="true" ht="16.296296296296294" r="14">
      <c r="A14" s="70"/>
      <c r="B14" s="71"/>
      <c r="C14" s="71"/>
      <c r="D14" s="71"/>
      <c r="E14" s="82" t="s">
        <v>188</v>
      </c>
      <c r="F14" s="82"/>
      <c r="G14" s="82" t="s">
        <v>189</v>
      </c>
      <c r="H14" s="73" t="s">
        <v>190</v>
      </c>
      <c r="I14" s="73"/>
      <c r="J14" s="71"/>
      <c r="K14" s="71"/>
      <c r="L14" s="71"/>
      <c r="M14" s="71"/>
      <c r="N14" s="71"/>
      <c r="O14" s="71"/>
      <c r="P14" s="71"/>
      <c r="Q14" s="70"/>
      <c r="R14" s="70"/>
      <c r="S14" s="70"/>
      <c r="T14" s="70"/>
    </row>
    <row customHeight="true" ht="16.296296296296294" r="15">
      <c r="A15" s="70"/>
      <c r="B15" s="71"/>
      <c r="C15" s="71"/>
      <c r="D15" s="71"/>
      <c r="E15" s="75" t="s">
        <v>191</v>
      </c>
      <c r="F15" s="75"/>
      <c r="G15" s="76">
        <v>1</v>
      </c>
      <c r="H15" s="73" t="s">
        <v>192</v>
      </c>
      <c r="I15" s="73"/>
      <c r="J15" s="71"/>
      <c r="K15" s="71"/>
      <c r="L15" s="71"/>
      <c r="M15" s="71"/>
      <c r="N15" s="71"/>
      <c r="O15" s="71"/>
      <c r="P15" s="71"/>
      <c r="Q15" s="70"/>
      <c r="R15" s="70"/>
      <c r="S15" s="70"/>
      <c r="T15" s="70"/>
    </row>
    <row customHeight="true" ht="16.296296296296294" r="16">
      <c r="A16" s="70"/>
      <c r="B16" s="71"/>
      <c r="C16" s="71"/>
      <c r="D16" s="71"/>
      <c r="E16" s="75" t="s">
        <v>193</v>
      </c>
      <c r="F16" s="75"/>
      <c r="G16" s="76">
        <v>3</v>
      </c>
      <c r="H16" s="71"/>
      <c r="I16" s="71"/>
      <c r="J16" s="71"/>
      <c r="K16" s="71"/>
      <c r="L16" s="71"/>
      <c r="M16" s="71"/>
      <c r="N16" s="71"/>
      <c r="O16" s="71"/>
      <c r="P16" s="71"/>
      <c r="Q16" s="70"/>
      <c r="R16" s="70"/>
      <c r="S16" s="70"/>
      <c r="T16" s="70"/>
    </row>
    <row customHeight="true" ht="16.296296296296294" r="17">
      <c r="A17" s="70"/>
      <c r="B17" s="71"/>
      <c r="C17" s="71"/>
      <c r="D17" s="71"/>
      <c r="E17" s="75" t="s">
        <v>194</v>
      </c>
      <c r="F17" s="75"/>
      <c r="G17" s="76">
        <v>5</v>
      </c>
      <c r="H17" s="73"/>
      <c r="I17" s="73"/>
      <c r="J17" s="74"/>
      <c r="K17" s="71"/>
      <c r="L17" s="71"/>
      <c r="M17" s="71"/>
      <c r="N17" s="71"/>
      <c r="O17" s="71"/>
      <c r="P17" s="71"/>
      <c r="Q17" s="70"/>
      <c r="R17" s="70"/>
      <c r="S17" s="70"/>
      <c r="T17" s="70"/>
    </row>
    <row customHeight="true" ht="34.81481481481481" r="18">
      <c r="A18" s="70"/>
      <c r="B18" s="71"/>
      <c r="C18" s="71"/>
      <c r="D18" s="71"/>
      <c r="E18" s="75" t="s">
        <v>195</v>
      </c>
      <c r="F18" s="75"/>
      <c r="G18" s="76">
        <v>2</v>
      </c>
      <c r="H18" s="71"/>
      <c r="I18" s="71"/>
      <c r="J18" s="71"/>
      <c r="K18" s="71"/>
      <c r="L18" s="71"/>
      <c r="M18" s="71"/>
      <c r="N18" s="71"/>
      <c r="O18" s="71"/>
      <c r="P18" s="71"/>
      <c r="Q18" s="70"/>
      <c r="R18" s="70"/>
      <c r="S18" s="70"/>
      <c r="T18" s="70"/>
    </row>
    <row customHeight="true" ht="32.59259259259259" r="19">
      <c r="A19" s="70"/>
      <c r="B19" s="71"/>
      <c r="C19" s="72" t="s">
        <v>216</v>
      </c>
      <c r="D19" s="72"/>
      <c r="E19" s="72"/>
      <c r="F19" s="72"/>
      <c r="G19" s="72"/>
      <c r="H19" s="72"/>
      <c r="I19" s="72"/>
      <c r="J19" s="72"/>
      <c r="K19" s="72"/>
      <c r="L19" s="71"/>
      <c r="M19" s="71"/>
      <c r="N19" s="71"/>
      <c r="O19" s="71"/>
      <c r="P19" s="71"/>
      <c r="Q19" s="70"/>
      <c r="R19" s="70"/>
      <c r="S19" s="70"/>
      <c r="T19" s="70"/>
    </row>
    <row customHeight="true" ht="16.296296296296294" r="20">
      <c r="A20" s="70"/>
      <c r="B20" s="71"/>
      <c r="C20" s="77" t="s">
        <v>199</v>
      </c>
      <c r="D20" s="78" t="s">
        <v>200</v>
      </c>
      <c r="E20" s="78"/>
      <c r="F20" s="74" t="s">
        <v>191</v>
      </c>
      <c r="G20" s="74" t="s">
        <v>217</v>
      </c>
      <c r="H20" s="74" t="s">
        <v>202</v>
      </c>
      <c r="I20" s="74" t="s">
        <v>203</v>
      </c>
      <c r="J20" s="74" t="s">
        <v>204</v>
      </c>
      <c r="K20" s="74" t="s">
        <v>205</v>
      </c>
      <c r="L20" s="71"/>
      <c r="M20" s="71"/>
      <c r="N20" s="71"/>
      <c r="O20" s="71"/>
      <c r="P20" s="71"/>
      <c r="Q20" s="70"/>
      <c r="R20" s="70"/>
      <c r="S20" s="70"/>
      <c r="T20" s="70"/>
    </row>
    <row customHeight="true" ht="16.296296296296294" r="21">
      <c r="A21" s="70"/>
      <c r="B21" s="71"/>
      <c r="C21" s="77" t="s">
        <v>199</v>
      </c>
      <c r="D21" s="74" t="s">
        <v>206</v>
      </c>
      <c r="E21" s="74" t="s">
        <v>206</v>
      </c>
      <c r="F21" s="79" t="s">
        <v>218</v>
      </c>
      <c r="G21" s="79" t="s">
        <v>208</v>
      </c>
      <c r="H21" s="79" t="s">
        <v>209</v>
      </c>
      <c r="I21" s="79" t="s">
        <v>219</v>
      </c>
      <c r="J21" s="79" t="s">
        <v>220</v>
      </c>
      <c r="K21" s="74" t="s">
        <v>221</v>
      </c>
      <c r="L21" s="71"/>
      <c r="M21" s="71"/>
      <c r="N21" s="71"/>
      <c r="O21" s="71"/>
      <c r="P21" s="71"/>
      <c r="Q21" s="70"/>
      <c r="R21" s="70"/>
      <c r="S21" s="70"/>
      <c r="T21" s="70"/>
    </row>
    <row customHeight="true" ht="53.33333333333333" r="22">
      <c r="A22" s="70"/>
      <c r="B22" s="71"/>
      <c r="C22" s="74" t="s">
        <v>213</v>
      </c>
      <c r="D22" s="74">
        <v>255</v>
      </c>
      <c r="E22" s="74">
        <v>255</v>
      </c>
      <c r="F22" s="74">
        <v>1</v>
      </c>
      <c r="G22" s="74">
        <v>4</v>
      </c>
      <c r="H22" s="74">
        <v>3</v>
      </c>
      <c r="I22" s="74">
        <v>5</v>
      </c>
      <c r="J22" s="74">
        <v>2</v>
      </c>
      <c r="K22" s="74">
        <v>240</v>
      </c>
      <c r="L22" s="71"/>
      <c r="M22" s="71"/>
      <c r="N22" s="71"/>
      <c r="O22" s="71"/>
      <c r="P22" s="71"/>
      <c r="Q22" s="70"/>
      <c r="R22" s="70"/>
      <c r="S22" s="70"/>
      <c r="T22" s="70"/>
    </row>
    <row r="23">
      <c r="A23" s="70"/>
      <c r="B23" s="71"/>
      <c r="C23" s="80" t="s">
        <v>214</v>
      </c>
      <c r="D23" s="80" t="s">
        <v>222</v>
      </c>
      <c r="E23" s="80"/>
      <c r="F23" s="80"/>
      <c r="G23" s="80"/>
      <c r="H23" s="80"/>
      <c r="I23" s="80"/>
      <c r="J23" s="80"/>
      <c r="K23" s="80"/>
      <c r="L23" s="71"/>
      <c r="M23" s="71"/>
      <c r="N23" s="71"/>
      <c r="O23" s="71"/>
      <c r="P23" s="71"/>
      <c r="Q23" s="70"/>
      <c r="R23" s="70"/>
      <c r="S23" s="70"/>
      <c r="T23" s="70"/>
    </row>
    <row customHeight="true" ht="16.296296296296294" r="24">
      <c r="A24" s="70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0"/>
      <c r="R24" s="70"/>
      <c r="S24" s="70"/>
      <c r="T24" s="70"/>
    </row>
    <row customHeight="true" ht="16.296296296296294" r="25">
      <c r="A25" s="70"/>
      <c r="B25" s="71"/>
      <c r="C25" s="71"/>
      <c r="D25" s="71"/>
      <c r="E25" s="72" t="s">
        <v>223</v>
      </c>
      <c r="F25" s="72"/>
      <c r="G25" s="72"/>
      <c r="H25" s="73" t="s">
        <v>187</v>
      </c>
      <c r="I25" s="73"/>
      <c r="J25" s="71"/>
      <c r="K25" s="71"/>
      <c r="L25" s="71"/>
      <c r="M25" s="71"/>
      <c r="N25" s="71"/>
      <c r="O25" s="71"/>
      <c r="P25" s="71"/>
      <c r="Q25" s="70"/>
      <c r="R25" s="70"/>
      <c r="S25" s="70"/>
      <c r="T25" s="70"/>
    </row>
    <row customHeight="true" ht="16.296296296296294" r="26">
      <c r="A26" s="70"/>
      <c r="B26" s="71"/>
      <c r="C26" s="71"/>
      <c r="D26" s="71"/>
      <c r="E26" s="74" t="s">
        <v>188</v>
      </c>
      <c r="F26" s="74"/>
      <c r="G26" s="74" t="s">
        <v>189</v>
      </c>
      <c r="H26" s="73" t="s">
        <v>190</v>
      </c>
      <c r="I26" s="73"/>
      <c r="J26" s="71"/>
      <c r="K26" s="71"/>
      <c r="L26" s="71"/>
      <c r="M26" s="71"/>
      <c r="N26" s="71"/>
      <c r="O26" s="71"/>
      <c r="P26" s="71"/>
      <c r="Q26" s="70"/>
      <c r="R26" s="70"/>
      <c r="S26" s="70"/>
      <c r="T26" s="70"/>
    </row>
    <row customHeight="true" ht="16.296296296296294" r="27">
      <c r="A27" s="70"/>
      <c r="B27" s="71"/>
      <c r="C27" s="71"/>
      <c r="D27" s="71"/>
      <c r="E27" s="75" t="s">
        <v>191</v>
      </c>
      <c r="F27" s="75"/>
      <c r="G27" s="76">
        <v>1</v>
      </c>
      <c r="H27" s="73" t="s">
        <v>192</v>
      </c>
      <c r="I27" s="73"/>
      <c r="J27" s="71"/>
      <c r="K27" s="71"/>
      <c r="L27" s="71"/>
      <c r="M27" s="71"/>
      <c r="N27" s="71"/>
      <c r="O27" s="71"/>
      <c r="P27" s="71"/>
      <c r="Q27" s="70"/>
      <c r="R27" s="70"/>
      <c r="S27" s="70"/>
      <c r="T27" s="70"/>
    </row>
    <row customHeight="true" ht="16.296296296296294" r="28">
      <c r="A28" s="70"/>
      <c r="B28" s="71"/>
      <c r="C28" s="71"/>
      <c r="D28" s="71"/>
      <c r="E28" s="75" t="s">
        <v>193</v>
      </c>
      <c r="F28" s="75"/>
      <c r="G28" s="76">
        <v>3</v>
      </c>
      <c r="H28" s="71"/>
      <c r="I28" s="71"/>
      <c r="J28" s="71"/>
      <c r="K28" s="71"/>
      <c r="L28" s="71"/>
      <c r="M28" s="71"/>
      <c r="N28" s="71"/>
      <c r="O28" s="71"/>
      <c r="P28" s="71"/>
      <c r="Q28" s="70"/>
      <c r="R28" s="70"/>
      <c r="S28" s="70"/>
      <c r="T28" s="70"/>
    </row>
    <row customHeight="true" ht="16.296296296296294" r="29">
      <c r="A29" s="70"/>
      <c r="B29" s="71"/>
      <c r="C29" s="71"/>
      <c r="D29" s="71"/>
      <c r="E29" s="75" t="s">
        <v>194</v>
      </c>
      <c r="F29" s="75"/>
      <c r="G29" s="76">
        <v>19</v>
      </c>
      <c r="H29" s="73"/>
      <c r="I29" s="73"/>
      <c r="J29" s="71"/>
      <c r="K29" s="71"/>
      <c r="L29" s="71"/>
      <c r="M29" s="71"/>
      <c r="N29" s="71"/>
      <c r="O29" s="71"/>
      <c r="P29" s="71"/>
      <c r="Q29" s="70"/>
      <c r="R29" s="70"/>
      <c r="S29" s="70"/>
      <c r="T29" s="70"/>
    </row>
    <row customHeight="true" ht="34.81481481481481" r="30">
      <c r="A30" s="70"/>
      <c r="B30" s="71"/>
      <c r="C30" s="71"/>
      <c r="D30" s="71"/>
      <c r="E30" s="75" t="s">
        <v>224</v>
      </c>
      <c r="F30" s="75"/>
      <c r="G30" s="76">
        <v>32</v>
      </c>
      <c r="H30" s="71"/>
      <c r="I30" s="71"/>
      <c r="J30" s="71"/>
      <c r="K30" s="71"/>
      <c r="L30" s="71"/>
      <c r="M30" s="71"/>
      <c r="N30" s="71"/>
      <c r="O30" s="71"/>
      <c r="P30" s="71"/>
      <c r="Q30" s="70"/>
      <c r="R30" s="70"/>
      <c r="S30" s="70"/>
      <c r="T30" s="70"/>
    </row>
    <row customHeight="true" ht="32.59259259259259" r="31">
      <c r="A31" s="70"/>
      <c r="B31" s="71"/>
      <c r="C31" s="72" t="s">
        <v>223</v>
      </c>
      <c r="D31" s="72"/>
      <c r="E31" s="72"/>
      <c r="F31" s="72"/>
      <c r="G31" s="72"/>
      <c r="H31" s="72"/>
      <c r="I31" s="72"/>
      <c r="J31" s="72"/>
      <c r="K31" s="72"/>
      <c r="L31" s="71"/>
      <c r="M31" s="71"/>
      <c r="N31" s="71"/>
      <c r="O31" s="71"/>
      <c r="P31" s="71"/>
      <c r="Q31" s="70"/>
      <c r="R31" s="70"/>
      <c r="S31" s="70"/>
      <c r="T31" s="70"/>
    </row>
    <row customHeight="true" ht="16.296296296296294" r="32">
      <c r="A32" s="70"/>
      <c r="B32" s="71"/>
      <c r="C32" s="77" t="s">
        <v>199</v>
      </c>
      <c r="D32" s="78" t="s">
        <v>200</v>
      </c>
      <c r="E32" s="78"/>
      <c r="F32" s="74" t="s">
        <v>191</v>
      </c>
      <c r="G32" s="74" t="s">
        <v>201</v>
      </c>
      <c r="H32" s="74" t="s">
        <v>202</v>
      </c>
      <c r="I32" s="74" t="s">
        <v>203</v>
      </c>
      <c r="J32" s="74" t="s">
        <v>225</v>
      </c>
      <c r="K32" s="74" t="s">
        <v>205</v>
      </c>
      <c r="L32" s="71"/>
      <c r="M32" s="71"/>
      <c r="N32" s="71"/>
      <c r="O32" s="71"/>
      <c r="P32" s="71"/>
      <c r="Q32" s="70"/>
      <c r="R32" s="70"/>
      <c r="S32" s="70"/>
      <c r="T32" s="70"/>
    </row>
    <row customHeight="true" ht="16.296296296296294" r="33">
      <c r="A33" s="70"/>
      <c r="B33" s="71"/>
      <c r="C33" s="77" t="s">
        <v>199</v>
      </c>
      <c r="D33" s="74" t="s">
        <v>206</v>
      </c>
      <c r="E33" s="74" t="s">
        <v>206</v>
      </c>
      <c r="F33" s="79" t="s">
        <v>218</v>
      </c>
      <c r="G33" s="79" t="s">
        <v>208</v>
      </c>
      <c r="H33" s="79" t="s">
        <v>209</v>
      </c>
      <c r="I33" s="79" t="s">
        <v>226</v>
      </c>
      <c r="J33" s="79" t="s">
        <v>227</v>
      </c>
      <c r="K33" s="74" t="s">
        <v>228</v>
      </c>
      <c r="L33" s="71"/>
      <c r="M33" s="71"/>
      <c r="N33" s="71"/>
      <c r="O33" s="71"/>
      <c r="P33" s="71"/>
      <c r="Q33" s="70"/>
      <c r="R33" s="70"/>
      <c r="S33" s="70"/>
      <c r="T33" s="70"/>
    </row>
    <row customHeight="true" ht="43.7037037037037" r="34">
      <c r="A34" s="70"/>
      <c r="B34" s="71"/>
      <c r="C34" s="74" t="s">
        <v>213</v>
      </c>
      <c r="D34" s="74">
        <v>255</v>
      </c>
      <c r="E34" s="74">
        <v>255</v>
      </c>
      <c r="F34" s="74">
        <v>1</v>
      </c>
      <c r="G34" s="74">
        <v>4</v>
      </c>
      <c r="H34" s="74">
        <v>3</v>
      </c>
      <c r="I34" s="74">
        <v>19</v>
      </c>
      <c r="J34" s="74">
        <v>32</v>
      </c>
      <c r="K34" s="74">
        <v>196</v>
      </c>
      <c r="L34" s="71"/>
      <c r="M34" s="71"/>
      <c r="N34" s="71"/>
      <c r="O34" s="71"/>
      <c r="P34" s="71"/>
      <c r="Q34" s="70"/>
      <c r="R34" s="70"/>
      <c r="S34" s="70"/>
      <c r="T34" s="70"/>
    </row>
    <row r="35">
      <c r="A35" s="70"/>
      <c r="B35" s="71"/>
      <c r="C35" s="80" t="s">
        <v>214</v>
      </c>
      <c r="D35" s="80" t="s">
        <v>229</v>
      </c>
      <c r="E35" s="80"/>
      <c r="F35" s="80"/>
      <c r="G35" s="80"/>
      <c r="H35" s="80"/>
      <c r="I35" s="80"/>
      <c r="J35" s="80"/>
      <c r="K35" s="80"/>
      <c r="L35" s="71"/>
      <c r="M35" s="71"/>
      <c r="N35" s="71"/>
      <c r="O35" s="71"/>
      <c r="P35" s="71"/>
      <c r="Q35" s="70"/>
      <c r="R35" s="70"/>
      <c r="S35" s="70"/>
      <c r="T35" s="70"/>
    </row>
    <row customHeight="true" ht="23.703703703703702" r="36">
      <c r="A36" s="70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0"/>
      <c r="R36" s="70"/>
      <c r="S36" s="70"/>
      <c r="T36" s="70"/>
    </row>
    <row customHeight="true" ht="16.296296296296294" r="37">
      <c r="A37" s="70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0"/>
      <c r="R37" s="70"/>
      <c r="S37" s="70"/>
      <c r="T37" s="70"/>
    </row>
    <row customHeight="true" ht="16.296296296296294" r="38">
      <c r="A38" s="70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0"/>
      <c r="R38" s="70"/>
      <c r="S38" s="70"/>
      <c r="T38" s="70"/>
    </row>
    <row customHeight="true" ht="16.296296296296294" r="39">
      <c r="A39" s="70"/>
      <c r="B39" s="71"/>
      <c r="C39" s="71"/>
      <c r="D39" s="71"/>
      <c r="E39" s="72" t="s">
        <v>230</v>
      </c>
      <c r="F39" s="72"/>
      <c r="G39" s="72"/>
      <c r="H39" s="73" t="s">
        <v>187</v>
      </c>
      <c r="I39" s="73"/>
      <c r="J39" s="71"/>
      <c r="K39" s="71"/>
      <c r="L39" s="71"/>
      <c r="M39" s="71"/>
      <c r="N39" s="71"/>
      <c r="O39" s="71"/>
      <c r="P39" s="71"/>
      <c r="Q39" s="70"/>
      <c r="R39" s="70"/>
      <c r="S39" s="70"/>
      <c r="T39" s="70"/>
    </row>
    <row customHeight="true" ht="16.296296296296294" r="40">
      <c r="A40" s="70"/>
      <c r="B40" s="71"/>
      <c r="C40" s="71"/>
      <c r="D40" s="71"/>
      <c r="E40" s="74" t="s">
        <v>188</v>
      </c>
      <c r="F40" s="74"/>
      <c r="G40" s="74" t="s">
        <v>189</v>
      </c>
      <c r="H40" s="83" t="s">
        <v>190</v>
      </c>
      <c r="I40" s="83"/>
      <c r="J40" s="73"/>
      <c r="K40" s="71"/>
      <c r="L40" s="71"/>
      <c r="M40" s="71"/>
      <c r="N40" s="71"/>
      <c r="O40" s="71"/>
      <c r="P40" s="71"/>
      <c r="Q40" s="70"/>
      <c r="R40" s="70"/>
      <c r="S40" s="70"/>
      <c r="T40" s="70"/>
    </row>
    <row customHeight="true" ht="16.296296296296294" r="41">
      <c r="A41" s="70"/>
      <c r="B41" s="71"/>
      <c r="C41" s="71"/>
      <c r="D41" s="71"/>
      <c r="E41" s="75" t="s">
        <v>191</v>
      </c>
      <c r="F41" s="75"/>
      <c r="G41" s="76">
        <v>253</v>
      </c>
      <c r="H41" s="73" t="s">
        <v>192</v>
      </c>
      <c r="I41" s="73"/>
      <c r="J41" s="71"/>
      <c r="K41" s="71"/>
      <c r="L41" s="71"/>
      <c r="M41" s="71"/>
      <c r="N41" s="71"/>
      <c r="O41" s="71"/>
      <c r="P41" s="71"/>
      <c r="Q41" s="70"/>
      <c r="R41" s="70"/>
      <c r="S41" s="70"/>
      <c r="T41" s="70"/>
    </row>
    <row customHeight="true" ht="34.81481481481481" r="42">
      <c r="A42" s="70"/>
      <c r="B42" s="71"/>
      <c r="C42" s="71"/>
      <c r="D42" s="71"/>
      <c r="E42" s="75" t="s">
        <v>193</v>
      </c>
      <c r="F42" s="75"/>
      <c r="G42" s="76">
        <v>2</v>
      </c>
      <c r="H42" s="71"/>
      <c r="I42" s="71"/>
      <c r="J42" s="71"/>
      <c r="K42" s="71"/>
      <c r="L42" s="71"/>
      <c r="M42" s="71"/>
      <c r="N42" s="71"/>
      <c r="O42" s="71"/>
      <c r="P42" s="71"/>
      <c r="Q42" s="70"/>
      <c r="R42" s="70"/>
      <c r="S42" s="70"/>
      <c r="T42" s="70"/>
    </row>
    <row customHeight="true" ht="32.59259259259259" r="43">
      <c r="A43" s="70"/>
      <c r="B43" s="71"/>
      <c r="C43" s="71"/>
      <c r="D43" s="71"/>
      <c r="E43" s="75" t="s">
        <v>194</v>
      </c>
      <c r="F43" s="75"/>
      <c r="G43" s="76">
        <v>40</v>
      </c>
      <c r="H43" s="73" t="s">
        <v>231</v>
      </c>
      <c r="I43" s="73" t="s">
        <v>232</v>
      </c>
      <c r="J43" s="71"/>
      <c r="K43" s="71"/>
      <c r="L43" s="71"/>
      <c r="M43" s="71"/>
      <c r="N43" s="71"/>
      <c r="O43" s="71"/>
      <c r="P43" s="71"/>
      <c r="Q43" s="70"/>
      <c r="R43" s="70"/>
      <c r="S43" s="70"/>
      <c r="T43" s="70"/>
    </row>
    <row customHeight="true" ht="16.296296296296294" r="44">
      <c r="A44" s="70"/>
      <c r="B44" s="71"/>
      <c r="C44" s="71"/>
      <c r="D44" s="71"/>
      <c r="E44" s="75" t="s">
        <v>230</v>
      </c>
      <c r="F44" s="75"/>
      <c r="G44" s="76">
        <v>0</v>
      </c>
      <c r="H44" s="73">
        <v>1</v>
      </c>
      <c r="I44" s="73">
        <v>0</v>
      </c>
      <c r="J44" s="73"/>
      <c r="K44" s="71"/>
      <c r="L44" s="71"/>
      <c r="M44" s="71"/>
      <c r="N44" s="71"/>
      <c r="O44" s="71"/>
      <c r="P44" s="71"/>
      <c r="Q44" s="70"/>
      <c r="R44" s="70"/>
      <c r="S44" s="70"/>
      <c r="T44" s="70"/>
    </row>
    <row customHeight="true" ht="20" r="45">
      <c r="A45" s="70"/>
      <c r="B45" s="71"/>
      <c r="C45" s="72" t="s">
        <v>233</v>
      </c>
      <c r="D45" s="72"/>
      <c r="E45" s="72"/>
      <c r="F45" s="72"/>
      <c r="G45" s="72"/>
      <c r="H45" s="72"/>
      <c r="I45" s="72"/>
      <c r="J45" s="72"/>
      <c r="K45" s="72"/>
      <c r="L45" s="71"/>
      <c r="M45" s="71"/>
      <c r="N45" s="71"/>
      <c r="O45" s="71"/>
      <c r="P45" s="71"/>
      <c r="Q45" s="70"/>
      <c r="R45" s="70"/>
      <c r="S45" s="70"/>
      <c r="T45" s="70"/>
    </row>
    <row customHeight="true" ht="54.81481481481481" r="46">
      <c r="A46" s="70"/>
      <c r="B46" s="71"/>
      <c r="C46" s="77" t="s">
        <v>199</v>
      </c>
      <c r="D46" s="78" t="s">
        <v>200</v>
      </c>
      <c r="E46" s="78"/>
      <c r="F46" s="74" t="s">
        <v>191</v>
      </c>
      <c r="G46" s="74" t="s">
        <v>201</v>
      </c>
      <c r="H46" s="74" t="s">
        <v>202</v>
      </c>
      <c r="I46" s="74" t="s">
        <v>203</v>
      </c>
      <c r="J46" s="74" t="s">
        <v>234</v>
      </c>
      <c r="K46" s="74" t="s">
        <v>205</v>
      </c>
      <c r="L46" s="71"/>
      <c r="M46" s="71"/>
      <c r="N46" s="71"/>
      <c r="O46" s="71"/>
      <c r="P46" s="71"/>
      <c r="Q46" s="70"/>
      <c r="R46" s="70"/>
      <c r="S46" s="70"/>
      <c r="T46" s="70"/>
    </row>
    <row r="47">
      <c r="A47" s="70"/>
      <c r="B47" s="71"/>
      <c r="C47" s="77" t="s">
        <v>199</v>
      </c>
      <c r="D47" s="74" t="s">
        <v>206</v>
      </c>
      <c r="E47" s="74" t="s">
        <v>206</v>
      </c>
      <c r="F47" s="74" t="s">
        <v>235</v>
      </c>
      <c r="G47" s="79" t="s">
        <v>208</v>
      </c>
      <c r="H47" s="79" t="s">
        <v>220</v>
      </c>
      <c r="I47" s="79" t="s">
        <v>236</v>
      </c>
      <c r="J47" s="79" t="s">
        <v>211</v>
      </c>
      <c r="K47" s="74" t="s">
        <v>237</v>
      </c>
      <c r="L47" s="71"/>
      <c r="M47" s="71"/>
      <c r="N47" s="71"/>
      <c r="O47" s="71"/>
      <c r="P47" s="71"/>
      <c r="Q47" s="70"/>
      <c r="R47" s="70"/>
      <c r="S47" s="70"/>
      <c r="T47" s="70"/>
    </row>
    <row r="48">
      <c r="A48" s="70"/>
      <c r="B48" s="71"/>
      <c r="C48" s="74" t="s">
        <v>213</v>
      </c>
      <c r="D48" s="74">
        <v>255</v>
      </c>
      <c r="E48" s="74">
        <v>255</v>
      </c>
      <c r="F48" s="74">
        <v>253</v>
      </c>
      <c r="G48" s="74">
        <v>4</v>
      </c>
      <c r="H48" s="74">
        <v>2</v>
      </c>
      <c r="I48" s="74">
        <v>40</v>
      </c>
      <c r="J48" s="74">
        <v>0</v>
      </c>
      <c r="K48" s="74">
        <v>212</v>
      </c>
      <c r="L48" s="71"/>
      <c r="M48" s="71"/>
      <c r="N48" s="71"/>
      <c r="O48" s="71"/>
      <c r="P48" s="71"/>
      <c r="Q48" s="70"/>
      <c r="R48" s="70"/>
      <c r="S48" s="70"/>
      <c r="T48" s="70"/>
    </row>
    <row customHeight="true" ht="23.703703703703702" r="49">
      <c r="A49" s="70"/>
      <c r="B49" s="71"/>
      <c r="C49" s="80" t="s">
        <v>214</v>
      </c>
      <c r="D49" s="80" t="s">
        <v>238</v>
      </c>
      <c r="E49" s="80"/>
      <c r="F49" s="80"/>
      <c r="G49" s="80"/>
      <c r="H49" s="80"/>
      <c r="I49" s="80"/>
      <c r="J49" s="80"/>
      <c r="K49" s="80"/>
      <c r="L49" s="71"/>
      <c r="M49" s="71"/>
      <c r="N49" s="71"/>
      <c r="O49" s="71"/>
      <c r="P49" s="71"/>
      <c r="Q49" s="70"/>
      <c r="R49" s="70"/>
      <c r="S49" s="70"/>
      <c r="T49" s="70"/>
    </row>
    <row customHeight="true" ht="16.296296296296294" r="50">
      <c r="A50" s="70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0"/>
      <c r="R50" s="70"/>
      <c r="S50" s="70"/>
      <c r="T50" s="70"/>
    </row>
    <row customHeight="true" ht="16.296296296296294" r="51">
      <c r="A51" s="70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0"/>
      <c r="R51" s="70"/>
      <c r="S51" s="70"/>
      <c r="T51" s="70"/>
    </row>
    <row customHeight="true" ht="16.296296296296294" r="52">
      <c r="A52" s="70"/>
      <c r="B52" s="71"/>
      <c r="C52" s="71"/>
      <c r="D52" s="71"/>
      <c r="E52" s="71"/>
      <c r="F52" s="71"/>
      <c r="G52" s="71"/>
      <c r="H52" s="73" t="s">
        <v>187</v>
      </c>
      <c r="I52" s="73"/>
      <c r="J52" s="71"/>
      <c r="K52" s="71"/>
      <c r="L52" s="71"/>
      <c r="M52" s="71"/>
      <c r="N52" s="71"/>
      <c r="O52" s="71"/>
      <c r="P52" s="71"/>
      <c r="Q52" s="70"/>
      <c r="R52" s="70"/>
      <c r="S52" s="70"/>
      <c r="T52" s="70"/>
    </row>
    <row customHeight="true" ht="16.296296296296294" r="53">
      <c r="A53" s="70"/>
      <c r="B53" s="71"/>
      <c r="C53" s="71"/>
      <c r="D53" s="71"/>
      <c r="E53" s="74" t="s">
        <v>188</v>
      </c>
      <c r="F53" s="74"/>
      <c r="G53" s="74" t="s">
        <v>189</v>
      </c>
      <c r="H53" s="83" t="s">
        <v>190</v>
      </c>
      <c r="I53" s="83"/>
      <c r="J53" s="71"/>
      <c r="K53" s="71"/>
      <c r="L53" s="71"/>
      <c r="M53" s="71"/>
      <c r="N53" s="71"/>
      <c r="O53" s="71"/>
      <c r="P53" s="71"/>
      <c r="Q53" s="70"/>
      <c r="R53" s="70"/>
      <c r="S53" s="70"/>
      <c r="T53" s="70"/>
    </row>
    <row customHeight="true" ht="16.296296296296294" r="54">
      <c r="A54" s="70"/>
      <c r="B54" s="71"/>
      <c r="C54" s="71"/>
      <c r="D54" s="71"/>
      <c r="E54" s="75" t="s">
        <v>191</v>
      </c>
      <c r="F54" s="75"/>
      <c r="G54" s="76">
        <v>2</v>
      </c>
      <c r="H54" s="73" t="s">
        <v>192</v>
      </c>
      <c r="I54" s="73"/>
      <c r="J54" s="71"/>
      <c r="K54" s="71"/>
      <c r="L54" s="71"/>
      <c r="M54" s="71"/>
      <c r="N54" s="71"/>
      <c r="O54" s="71"/>
      <c r="P54" s="71"/>
      <c r="Q54" s="70"/>
      <c r="R54" s="70"/>
      <c r="S54" s="70"/>
      <c r="T54" s="70"/>
    </row>
    <row customHeight="true" ht="34.81481481481481" r="55">
      <c r="A55" s="70"/>
      <c r="B55" s="71"/>
      <c r="C55" s="71"/>
      <c r="D55" s="71"/>
      <c r="E55" s="75" t="s">
        <v>193</v>
      </c>
      <c r="F55" s="75"/>
      <c r="G55" s="76">
        <v>3</v>
      </c>
      <c r="H55" s="71"/>
      <c r="I55" s="71"/>
      <c r="J55" s="71"/>
      <c r="K55" s="71"/>
      <c r="L55" s="71"/>
      <c r="M55" s="71"/>
      <c r="N55" s="71"/>
      <c r="O55" s="71"/>
      <c r="P55" s="71"/>
      <c r="Q55" s="70"/>
      <c r="R55" s="70"/>
      <c r="S55" s="70"/>
      <c r="T55" s="70"/>
    </row>
    <row customHeight="true" ht="32.59259259259259" r="56">
      <c r="A56" s="70"/>
      <c r="B56" s="71"/>
      <c r="C56" s="71"/>
      <c r="D56" s="71"/>
      <c r="E56" s="75" t="s">
        <v>239</v>
      </c>
      <c r="F56" s="75"/>
      <c r="G56" s="76">
        <v>1000</v>
      </c>
      <c r="H56" s="73" t="s">
        <v>240</v>
      </c>
      <c r="I56" s="73"/>
      <c r="J56" s="71"/>
      <c r="K56" s="71"/>
      <c r="L56" s="71"/>
      <c r="M56" s="71"/>
      <c r="N56" s="71"/>
      <c r="O56" s="71"/>
      <c r="P56" s="71"/>
      <c r="Q56" s="70"/>
      <c r="R56" s="70"/>
      <c r="S56" s="70"/>
      <c r="T56" s="70"/>
    </row>
    <row customHeight="true" ht="16.296296296296294" r="57">
      <c r="A57" s="70"/>
      <c r="B57" s="71"/>
      <c r="C57" s="71"/>
      <c r="D57" s="71"/>
      <c r="E57" s="75" t="s">
        <v>241</v>
      </c>
      <c r="F57" s="75"/>
      <c r="G57" s="76">
        <v>0</v>
      </c>
      <c r="H57" s="73" t="s">
        <v>242</v>
      </c>
      <c r="I57" s="73"/>
      <c r="J57" s="71"/>
      <c r="K57" s="71"/>
      <c r="L57" s="71"/>
      <c r="M57" s="71"/>
      <c r="N57" s="71"/>
      <c r="O57" s="71"/>
      <c r="P57" s="71"/>
      <c r="Q57" s="70"/>
      <c r="R57" s="70"/>
      <c r="S57" s="70"/>
      <c r="T57" s="70"/>
    </row>
    <row customHeight="true" ht="16.296296296296294" r="58">
      <c r="A58" s="70"/>
      <c r="B58" s="71"/>
      <c r="C58" s="71"/>
      <c r="D58" s="71"/>
      <c r="E58" s="75" t="s">
        <v>243</v>
      </c>
      <c r="F58" s="75"/>
      <c r="G58" s="76">
        <v>0</v>
      </c>
      <c r="H58" s="73" t="s">
        <v>244</v>
      </c>
      <c r="I58" s="73"/>
      <c r="J58" s="71"/>
      <c r="K58" s="71"/>
      <c r="L58" s="71"/>
      <c r="M58" s="71"/>
      <c r="N58" s="71"/>
      <c r="O58" s="71"/>
      <c r="P58" s="71"/>
      <c r="Q58" s="70"/>
      <c r="R58" s="70"/>
      <c r="S58" s="70"/>
      <c r="T58" s="70"/>
    </row>
    <row customHeight="true" ht="45.925925925925924" r="59">
      <c r="A59" s="70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0"/>
      <c r="R59" s="70"/>
      <c r="S59" s="70"/>
      <c r="T59" s="70"/>
    </row>
    <row customHeight="true" ht="17.777777777777775" r="60">
      <c r="A60" s="70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0"/>
      <c r="R60" s="70"/>
      <c r="S60" s="70"/>
      <c r="T60" s="70"/>
    </row>
    <row customHeight="true" ht="17.777777777777775" r="61">
      <c r="A61" s="70"/>
      <c r="B61" s="71"/>
      <c r="C61" s="84" t="s">
        <v>245</v>
      </c>
      <c r="D61" s="78" t="s">
        <v>200</v>
      </c>
      <c r="E61" s="78"/>
      <c r="F61" s="74" t="s">
        <v>191</v>
      </c>
      <c r="G61" s="74" t="s">
        <v>217</v>
      </c>
      <c r="H61" s="74" t="s">
        <v>202</v>
      </c>
      <c r="I61" s="74" t="s">
        <v>203</v>
      </c>
      <c r="J61" s="74" t="s">
        <v>246</v>
      </c>
      <c r="K61" s="74" t="s">
        <v>247</v>
      </c>
      <c r="L61" s="80" t="s">
        <v>248</v>
      </c>
      <c r="M61" s="80" t="s">
        <v>249</v>
      </c>
      <c r="N61" s="80" t="s">
        <v>250</v>
      </c>
      <c r="O61" s="80" t="s">
        <v>251</v>
      </c>
      <c r="P61" s="74" t="s">
        <v>205</v>
      </c>
      <c r="Q61" s="70"/>
      <c r="R61" s="70"/>
      <c r="S61" s="70"/>
      <c r="T61" s="70"/>
    </row>
    <row customHeight="true" ht="16.296296296296294" r="62">
      <c r="A62" s="70"/>
      <c r="B62" s="71"/>
      <c r="C62" s="77" t="s">
        <v>199</v>
      </c>
      <c r="D62" s="74" t="s">
        <v>206</v>
      </c>
      <c r="E62" s="74" t="s">
        <v>206</v>
      </c>
      <c r="F62" s="79" t="s">
        <v>220</v>
      </c>
      <c r="G62" s="79" t="s">
        <v>252</v>
      </c>
      <c r="H62" s="79" t="s">
        <v>209</v>
      </c>
      <c r="I62" s="74" t="s">
        <v>253</v>
      </c>
      <c r="J62" s="74" t="s">
        <v>254</v>
      </c>
      <c r="K62" s="79" t="s">
        <v>209</v>
      </c>
      <c r="L62" s="79" t="s">
        <v>211</v>
      </c>
      <c r="M62" s="79" t="s">
        <v>211</v>
      </c>
      <c r="N62" s="79" t="s">
        <v>211</v>
      </c>
      <c r="O62" s="79" t="s">
        <v>211</v>
      </c>
      <c r="P62" s="74" t="s">
        <v>255</v>
      </c>
      <c r="Q62" s="70"/>
      <c r="R62" s="70"/>
      <c r="S62" s="70"/>
      <c r="T62" s="70"/>
    </row>
    <row customHeight="true" ht="16.296296296296294" r="63">
      <c r="A63" s="70"/>
      <c r="B63" s="71"/>
      <c r="C63" s="74" t="s">
        <v>213</v>
      </c>
      <c r="D63" s="74">
        <v>255</v>
      </c>
      <c r="E63" s="74">
        <v>255</v>
      </c>
      <c r="F63" s="74">
        <v>2</v>
      </c>
      <c r="G63" s="74">
        <v>9</v>
      </c>
      <c r="H63" s="74">
        <v>3</v>
      </c>
      <c r="I63" s="74">
        <v>42</v>
      </c>
      <c r="J63" s="74">
        <v>232</v>
      </c>
      <c r="K63" s="74">
        <v>3</v>
      </c>
      <c r="L63" s="74">
        <v>0</v>
      </c>
      <c r="M63" s="74">
        <v>0</v>
      </c>
      <c r="N63" s="74">
        <v>0</v>
      </c>
      <c r="O63" s="74">
        <v>0</v>
      </c>
      <c r="P63" s="74">
        <v>220</v>
      </c>
      <c r="Q63" s="70"/>
      <c r="R63" s="70"/>
      <c r="S63" s="70"/>
      <c r="T63" s="70"/>
    </row>
    <row customHeight="true" ht="16.296296296296294" r="64">
      <c r="A64" s="70"/>
      <c r="B64" s="71"/>
      <c r="C64" s="80" t="s">
        <v>214</v>
      </c>
      <c r="D64" s="85" t="s">
        <v>256</v>
      </c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70"/>
      <c r="R64" s="70"/>
      <c r="S64" s="70"/>
      <c r="T64" s="70"/>
    </row>
    <row customHeight="true" ht="16.296296296296294" r="65">
      <c r="A65" s="70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0"/>
      <c r="R65" s="70"/>
      <c r="S65" s="70"/>
      <c r="T65" s="70"/>
    </row>
    <row customHeight="true" ht="15.555555555555555" r="66">
      <c r="A66" s="70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0"/>
      <c r="R66" s="70"/>
      <c r="S66" s="70"/>
      <c r="T66" s="70"/>
    </row>
    <row customHeight="true" ht="15.555555555555555" r="67">
      <c r="A67" s="70"/>
      <c r="B67" s="71"/>
      <c r="C67" s="71"/>
      <c r="D67" s="71"/>
      <c r="E67" s="71"/>
      <c r="F67" s="71"/>
      <c r="G67" s="71"/>
      <c r="H67" s="73" t="s">
        <v>187</v>
      </c>
      <c r="I67" s="73"/>
      <c r="J67" s="71"/>
      <c r="K67" s="71"/>
      <c r="L67" s="71"/>
      <c r="M67" s="71"/>
      <c r="N67" s="71"/>
      <c r="O67" s="71"/>
      <c r="P67" s="71"/>
      <c r="Q67" s="70"/>
      <c r="R67" s="70"/>
      <c r="S67" s="70"/>
      <c r="T67" s="70"/>
    </row>
    <row customHeight="true" ht="15.555555555555555" r="68">
      <c r="A68" s="70"/>
      <c r="B68" s="71"/>
      <c r="C68" s="74"/>
      <c r="D68" s="71"/>
      <c r="E68" s="74" t="s">
        <v>188</v>
      </c>
      <c r="F68" s="74"/>
      <c r="G68" s="74" t="s">
        <v>189</v>
      </c>
      <c r="H68" s="73" t="s">
        <v>190</v>
      </c>
      <c r="I68" s="71" t="s">
        <v>257</v>
      </c>
      <c r="J68" s="71" t="s">
        <v>258</v>
      </c>
      <c r="K68" s="71"/>
      <c r="L68" s="71"/>
      <c r="M68" s="71"/>
      <c r="N68" s="71"/>
      <c r="O68" s="71"/>
      <c r="P68" s="71"/>
      <c r="Q68" s="70"/>
      <c r="R68" s="70"/>
      <c r="S68" s="70"/>
      <c r="T68" s="70"/>
    </row>
    <row customHeight="true" ht="15.555555555555555" r="69">
      <c r="A69" s="70"/>
      <c r="B69" s="71"/>
      <c r="C69" s="71"/>
      <c r="D69" s="71"/>
      <c r="E69" s="75" t="s">
        <v>191</v>
      </c>
      <c r="F69" s="75"/>
      <c r="G69" s="76">
        <v>1</v>
      </c>
      <c r="H69" s="73" t="s">
        <v>259</v>
      </c>
      <c r="I69" s="71"/>
      <c r="J69" s="71"/>
      <c r="K69" s="71"/>
      <c r="L69" s="71"/>
      <c r="M69" s="71"/>
      <c r="N69" s="71"/>
      <c r="O69" s="71"/>
      <c r="P69" s="71"/>
      <c r="Q69" s="70"/>
      <c r="R69" s="70"/>
      <c r="S69" s="70"/>
      <c r="T69" s="70"/>
    </row>
    <row r="70">
      <c r="A70" s="70"/>
      <c r="B70" s="71"/>
      <c r="C70" s="71"/>
      <c r="D70" s="71"/>
      <c r="E70" s="75" t="s">
        <v>193</v>
      </c>
      <c r="F70" s="75"/>
      <c r="G70" s="76">
        <v>3</v>
      </c>
      <c r="H70" s="71"/>
      <c r="I70" s="71"/>
      <c r="J70" s="71"/>
      <c r="K70" s="71"/>
      <c r="L70" s="71"/>
      <c r="M70" s="71"/>
      <c r="N70" s="71"/>
      <c r="O70" s="71"/>
      <c r="P70" s="71"/>
      <c r="Q70" s="70"/>
      <c r="R70" s="70"/>
      <c r="S70" s="70"/>
      <c r="T70" s="70"/>
    </row>
    <row customHeight="true" ht="32.59259259259259" r="71">
      <c r="A71" s="70"/>
      <c r="B71" s="71"/>
      <c r="C71" s="71"/>
      <c r="D71" s="71"/>
      <c r="E71" s="75" t="s">
        <v>260</v>
      </c>
      <c r="F71" s="75"/>
      <c r="G71" s="76">
        <v>50</v>
      </c>
      <c r="H71" s="73" t="s">
        <v>261</v>
      </c>
      <c r="I71" s="71" t="s">
        <v>262</v>
      </c>
      <c r="J71" s="71"/>
      <c r="K71" s="71"/>
      <c r="L71" s="71"/>
      <c r="M71" s="71"/>
      <c r="N71" s="71"/>
      <c r="O71" s="71"/>
      <c r="P71" s="71"/>
      <c r="Q71" s="70"/>
      <c r="R71" s="70"/>
      <c r="S71" s="70"/>
      <c r="T71" s="70"/>
    </row>
    <row customHeight="true" ht="16.296296296296294" r="72">
      <c r="A72" s="70"/>
      <c r="B72" s="71"/>
      <c r="C72" s="71"/>
      <c r="D72" s="71"/>
      <c r="E72" s="75" t="s">
        <v>239</v>
      </c>
      <c r="F72" s="75"/>
      <c r="G72" s="76">
        <v>1000</v>
      </c>
      <c r="H72" s="73" t="s">
        <v>240</v>
      </c>
      <c r="I72" s="86">
        <v>0.088</v>
      </c>
      <c r="J72" s="71" t="s">
        <v>263</v>
      </c>
      <c r="K72" s="71"/>
      <c r="L72" s="71"/>
      <c r="M72" s="71"/>
      <c r="N72" s="71"/>
      <c r="O72" s="71"/>
      <c r="P72" s="71"/>
      <c r="Q72" s="70"/>
      <c r="R72" s="70"/>
      <c r="S72" s="70"/>
      <c r="T72" s="70"/>
    </row>
    <row customHeight="true" ht="16.296296296296294" r="73">
      <c r="A73" s="70"/>
      <c r="B73" s="71"/>
      <c r="C73" s="71"/>
      <c r="D73" s="71"/>
      <c r="E73" s="75" t="s">
        <v>264</v>
      </c>
      <c r="F73" s="75"/>
      <c r="G73" s="76">
        <v>0</v>
      </c>
      <c r="H73" s="71"/>
      <c r="I73" s="71"/>
      <c r="J73" s="71"/>
      <c r="K73" s="71"/>
      <c r="L73" s="71"/>
      <c r="M73" s="71"/>
      <c r="N73" s="71"/>
      <c r="O73" s="71"/>
      <c r="P73" s="71"/>
      <c r="Q73" s="70"/>
      <c r="R73" s="70"/>
      <c r="S73" s="70"/>
      <c r="T73" s="70"/>
    </row>
    <row customHeight="true" ht="48.148148148148145" r="74">
      <c r="A74" s="70"/>
      <c r="B74" s="71"/>
      <c r="C74" s="71"/>
      <c r="D74" s="71"/>
      <c r="E74" s="75" t="s">
        <v>243</v>
      </c>
      <c r="F74" s="75"/>
      <c r="G74" s="76">
        <v>1000</v>
      </c>
      <c r="H74" s="73" t="s">
        <v>265</v>
      </c>
      <c r="I74" s="71" t="s">
        <v>266</v>
      </c>
      <c r="J74" s="71"/>
      <c r="K74" s="71"/>
      <c r="L74" s="71"/>
      <c r="M74" s="71"/>
      <c r="N74" s="71"/>
      <c r="O74" s="71"/>
      <c r="P74" s="71"/>
      <c r="Q74" s="70"/>
      <c r="R74" s="70"/>
      <c r="S74" s="70"/>
      <c r="T74" s="70"/>
    </row>
    <row r="75">
      <c r="A75" s="70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0"/>
      <c r="R75" s="70"/>
      <c r="S75" s="70"/>
      <c r="T75" s="70"/>
    </row>
    <row r="76">
      <c r="A76" s="70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4" t="s">
        <v>267</v>
      </c>
      <c r="N76" s="74"/>
      <c r="O76" s="71"/>
      <c r="P76" s="71"/>
      <c r="Q76" s="70"/>
      <c r="R76" s="70"/>
      <c r="S76" s="70"/>
      <c r="T76" s="70"/>
    </row>
    <row customHeight="true" ht="16.296296296296294" r="77">
      <c r="A77" s="70"/>
      <c r="B77" s="71"/>
      <c r="C77" s="84" t="s">
        <v>245</v>
      </c>
      <c r="D77" s="78" t="s">
        <v>200</v>
      </c>
      <c r="E77" s="78"/>
      <c r="F77" s="74" t="s">
        <v>191</v>
      </c>
      <c r="G77" s="74" t="s">
        <v>201</v>
      </c>
      <c r="H77" s="74" t="s">
        <v>202</v>
      </c>
      <c r="I77" s="74" t="s">
        <v>203</v>
      </c>
      <c r="J77" s="74" t="s">
        <v>268</v>
      </c>
      <c r="K77" s="74" t="s">
        <v>246</v>
      </c>
      <c r="L77" s="74" t="s">
        <v>247</v>
      </c>
      <c r="M77" s="74" t="s">
        <v>248</v>
      </c>
      <c r="N77" s="74" t="s">
        <v>249</v>
      </c>
      <c r="O77" s="80" t="s">
        <v>250</v>
      </c>
      <c r="P77" s="80" t="s">
        <v>251</v>
      </c>
      <c r="Q77" s="70"/>
      <c r="R77" s="70"/>
      <c r="S77" s="70"/>
      <c r="T77" s="70"/>
    </row>
    <row customHeight="true" ht="16.296296296296294" r="78">
      <c r="A78" s="70"/>
      <c r="B78" s="71"/>
      <c r="C78" s="77" t="s">
        <v>199</v>
      </c>
      <c r="D78" s="74" t="s">
        <v>206</v>
      </c>
      <c r="E78" s="74" t="s">
        <v>206</v>
      </c>
      <c r="F78" s="79" t="s">
        <v>218</v>
      </c>
      <c r="G78" s="74" t="s">
        <v>269</v>
      </c>
      <c r="H78" s="79" t="s">
        <v>209</v>
      </c>
      <c r="I78" s="79" t="s">
        <v>270</v>
      </c>
      <c r="J78" s="79" t="s">
        <v>271</v>
      </c>
      <c r="K78" s="74" t="s">
        <v>254</v>
      </c>
      <c r="L78" s="79" t="s">
        <v>209</v>
      </c>
      <c r="M78" s="74" t="s">
        <v>211</v>
      </c>
      <c r="N78" s="74" t="s">
        <v>211</v>
      </c>
      <c r="O78" s="74" t="s">
        <v>254</v>
      </c>
      <c r="P78" s="79" t="s">
        <v>209</v>
      </c>
      <c r="Q78" s="70"/>
      <c r="R78" s="70"/>
      <c r="S78" s="70"/>
      <c r="T78" s="70"/>
    </row>
    <row customHeight="true" ht="16.296296296296294" r="79">
      <c r="A79" s="70"/>
      <c r="B79" s="71"/>
      <c r="C79" s="74" t="s">
        <v>213</v>
      </c>
      <c r="D79" s="74">
        <v>255</v>
      </c>
      <c r="E79" s="74">
        <v>255</v>
      </c>
      <c r="F79" s="74">
        <v>1</v>
      </c>
      <c r="G79" s="74">
        <v>10</v>
      </c>
      <c r="H79" s="74">
        <v>3</v>
      </c>
      <c r="I79" s="74">
        <v>41</v>
      </c>
      <c r="J79" s="74">
        <v>50</v>
      </c>
      <c r="K79" s="74">
        <v>232</v>
      </c>
      <c r="L79" s="74">
        <v>3</v>
      </c>
      <c r="M79" s="74">
        <v>0</v>
      </c>
      <c r="N79" s="74">
        <v>0</v>
      </c>
      <c r="O79" s="74">
        <v>232</v>
      </c>
      <c r="P79" s="74">
        <v>3</v>
      </c>
      <c r="Q79" s="70"/>
      <c r="R79" s="70"/>
      <c r="S79" s="70"/>
      <c r="T79" s="70"/>
    </row>
    <row customHeight="true" ht="16.296296296296294" r="80">
      <c r="A80" s="70"/>
      <c r="B80" s="71"/>
      <c r="C80" s="80" t="s">
        <v>214</v>
      </c>
      <c r="D80" s="87" t="s">
        <v>272</v>
      </c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9"/>
      <c r="Q80" s="70"/>
      <c r="R80" s="70"/>
      <c r="S80" s="70"/>
      <c r="T80" s="70"/>
    </row>
    <row customHeight="true" ht="15.555555555555555" r="81">
      <c r="A81" s="70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0"/>
      <c r="R81" s="70"/>
      <c r="S81" s="70"/>
      <c r="T81" s="70"/>
    </row>
    <row customHeight="true" ht="15.555555555555555" r="82">
      <c r="A82" s="70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0"/>
      <c r="R82" s="70"/>
      <c r="S82" s="70"/>
      <c r="T82" s="70"/>
    </row>
    <row customHeight="true" ht="15.555555555555555" r="83">
      <c r="A83" s="70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0"/>
      <c r="R83" s="70"/>
      <c r="S83" s="70"/>
      <c r="T83" s="70"/>
    </row>
    <row customHeight="true" ht="15.555555555555555" r="84">
      <c r="A84" s="70"/>
      <c r="B84" s="71"/>
      <c r="C84" s="74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0"/>
      <c r="R84" s="70"/>
      <c r="S84" s="70"/>
      <c r="T84" s="70"/>
    </row>
    <row r="85">
      <c r="A85" s="70"/>
      <c r="B85" s="71"/>
      <c r="C85" s="71"/>
      <c r="D85" s="71"/>
      <c r="E85" s="72" t="s">
        <v>273</v>
      </c>
      <c r="F85" s="72"/>
      <c r="G85" s="72"/>
      <c r="H85" s="73" t="s">
        <v>187</v>
      </c>
      <c r="I85" s="73"/>
      <c r="J85" s="71"/>
      <c r="K85" s="71"/>
      <c r="L85" s="71"/>
      <c r="M85" s="71"/>
      <c r="N85" s="71"/>
      <c r="O85" s="71"/>
      <c r="P85" s="71"/>
      <c r="Q85" s="70"/>
      <c r="R85" s="70"/>
      <c r="S85" s="70"/>
      <c r="T85" s="70"/>
    </row>
    <row customHeight="true" ht="15.555555555555555" r="86">
      <c r="A86" s="70"/>
      <c r="B86" s="71"/>
      <c r="C86" s="71"/>
      <c r="D86" s="71"/>
      <c r="E86" s="74" t="s">
        <v>188</v>
      </c>
      <c r="F86" s="74"/>
      <c r="G86" s="74" t="s">
        <v>189</v>
      </c>
      <c r="H86" s="73" t="s">
        <v>190</v>
      </c>
      <c r="I86" s="73"/>
      <c r="J86" s="71"/>
      <c r="K86" s="71"/>
      <c r="L86" s="71"/>
      <c r="M86" s="71"/>
      <c r="N86" s="71"/>
      <c r="O86" s="71"/>
      <c r="P86" s="71"/>
      <c r="Q86" s="70"/>
      <c r="R86" s="70"/>
      <c r="S86" s="70"/>
      <c r="T86" s="70"/>
    </row>
    <row customHeight="true" ht="32.59259259259259" r="87">
      <c r="A87" s="70"/>
      <c r="B87" s="71"/>
      <c r="C87" s="71"/>
      <c r="D87" s="71"/>
      <c r="E87" s="75" t="s">
        <v>191</v>
      </c>
      <c r="F87" s="75"/>
      <c r="G87" s="76">
        <v>1</v>
      </c>
      <c r="H87" s="73" t="s">
        <v>192</v>
      </c>
      <c r="I87" s="73"/>
      <c r="J87" s="71"/>
      <c r="K87" s="71"/>
      <c r="L87" s="71"/>
      <c r="M87" s="71"/>
      <c r="N87" s="71"/>
      <c r="O87" s="71"/>
      <c r="P87" s="71"/>
      <c r="Q87" s="90" t="s">
        <v>274</v>
      </c>
      <c r="R87" s="70"/>
      <c r="S87" s="70"/>
      <c r="T87" s="70"/>
    </row>
    <row customHeight="true" ht="16.296296296296294" r="88">
      <c r="A88" s="70"/>
      <c r="B88" s="71"/>
      <c r="C88" s="71"/>
      <c r="D88" s="71"/>
      <c r="E88" s="75" t="s">
        <v>275</v>
      </c>
      <c r="F88" s="75"/>
      <c r="G88" s="76">
        <v>2</v>
      </c>
      <c r="H88" s="71"/>
      <c r="I88" s="71"/>
      <c r="J88" s="71"/>
      <c r="K88" s="71"/>
      <c r="L88" s="71"/>
      <c r="M88" s="71"/>
      <c r="N88" s="71"/>
      <c r="O88" s="71"/>
      <c r="P88" s="71"/>
      <c r="Q88" s="90">
        <f>DEC2HEX(_xlfn.BITXOR(_xlfn.BITAND(SUM(F89+G89+H89+I89+J89+L89+K89+N89+M89+P89+O89),255),255),2)</f>
      </c>
      <c r="R88" s="70"/>
      <c r="S88" s="70"/>
      <c r="T88" s="70"/>
    </row>
    <row customHeight="true" ht="16.296296296296294" r="89">
      <c r="A89" s="70"/>
      <c r="B89" s="71"/>
      <c r="C89" s="74"/>
      <c r="D89" s="71"/>
      <c r="E89" s="75" t="s">
        <v>194</v>
      </c>
      <c r="F89" s="75"/>
      <c r="G89" s="76">
        <v>56</v>
      </c>
      <c r="H89" s="73"/>
      <c r="I89" s="73"/>
      <c r="J89" s="71"/>
      <c r="K89" s="71"/>
      <c r="L89" s="71"/>
      <c r="M89" s="71"/>
      <c r="N89" s="71"/>
      <c r="O89" s="71"/>
      <c r="P89" s="71"/>
      <c r="Q89" s="90">
        <f>HEX2DEC(Q88)</f>
      </c>
      <c r="R89" s="70"/>
      <c r="S89" s="70"/>
      <c r="T89" s="70"/>
    </row>
    <row customHeight="true" ht="48.148148148148145" r="90">
      <c r="A90" s="70"/>
      <c r="B90" s="71"/>
      <c r="C90" s="71"/>
      <c r="D90" s="71"/>
      <c r="E90" s="75" t="s">
        <v>276</v>
      </c>
      <c r="F90" s="75"/>
      <c r="G90" s="76">
        <v>2</v>
      </c>
      <c r="H90" s="71"/>
      <c r="I90" s="71"/>
      <c r="J90" s="71"/>
      <c r="K90" s="71"/>
      <c r="L90" s="71"/>
      <c r="M90" s="71"/>
      <c r="N90" s="71"/>
      <c r="O90" s="71"/>
      <c r="P90" s="71"/>
      <c r="Q90" s="70"/>
      <c r="R90" s="70"/>
      <c r="S90" s="70"/>
      <c r="T90" s="70"/>
    </row>
    <row r="91">
      <c r="A91" s="70"/>
      <c r="B91" s="71"/>
      <c r="C91" s="72" t="s">
        <v>273</v>
      </c>
      <c r="D91" s="72"/>
      <c r="E91" s="72"/>
      <c r="F91" s="72"/>
      <c r="G91" s="72"/>
      <c r="H91" s="72"/>
      <c r="I91" s="72"/>
      <c r="J91" s="72"/>
      <c r="K91" s="72"/>
      <c r="L91" s="71"/>
      <c r="M91" s="71"/>
      <c r="N91" s="71"/>
      <c r="O91" s="71"/>
      <c r="P91" s="71"/>
      <c r="Q91" s="70"/>
      <c r="R91" s="70"/>
      <c r="S91" s="70"/>
      <c r="T91" s="70"/>
    </row>
    <row r="92">
      <c r="A92" s="70"/>
      <c r="B92" s="71"/>
      <c r="C92" s="84" t="s">
        <v>277</v>
      </c>
      <c r="D92" s="78" t="s">
        <v>200</v>
      </c>
      <c r="E92" s="78"/>
      <c r="F92" s="74" t="s">
        <v>191</v>
      </c>
      <c r="G92" s="74" t="s">
        <v>201</v>
      </c>
      <c r="H92" s="74" t="s">
        <v>202</v>
      </c>
      <c r="I92" s="74" t="s">
        <v>203</v>
      </c>
      <c r="J92" s="74" t="s">
        <v>276</v>
      </c>
      <c r="K92" s="74" t="s">
        <v>205</v>
      </c>
      <c r="L92" s="71"/>
      <c r="M92" s="71"/>
      <c r="N92" s="71"/>
      <c r="O92" s="71"/>
      <c r="P92" s="71"/>
      <c r="Q92" s="70"/>
      <c r="R92" s="70"/>
      <c r="S92" s="70"/>
      <c r="T92" s="70"/>
    </row>
    <row r="93">
      <c r="A93" s="70"/>
      <c r="B93" s="71"/>
      <c r="C93" s="77" t="s">
        <v>199</v>
      </c>
      <c r="D93" s="74" t="s">
        <v>206</v>
      </c>
      <c r="E93" s="74" t="s">
        <v>206</v>
      </c>
      <c r="F93" s="79" t="s">
        <v>218</v>
      </c>
      <c r="G93" s="79" t="s">
        <v>208</v>
      </c>
      <c r="H93" s="79" t="s">
        <v>220</v>
      </c>
      <c r="I93" s="79" t="s">
        <v>278</v>
      </c>
      <c r="J93" s="79" t="s">
        <v>220</v>
      </c>
      <c r="K93" s="74" t="s">
        <v>279</v>
      </c>
      <c r="L93" s="71"/>
      <c r="M93" s="71"/>
      <c r="N93" s="71"/>
      <c r="O93" s="71"/>
      <c r="P93" s="71"/>
      <c r="Q93" s="70"/>
      <c r="R93" s="70"/>
      <c r="S93" s="70"/>
      <c r="T93" s="70"/>
    </row>
    <row r="94">
      <c r="A94" s="70"/>
      <c r="B94" s="71"/>
      <c r="C94" s="74" t="s">
        <v>213</v>
      </c>
      <c r="D94" s="74">
        <v>255</v>
      </c>
      <c r="E94" s="74">
        <v>255</v>
      </c>
      <c r="F94" s="74">
        <v>1</v>
      </c>
      <c r="G94" s="74">
        <v>4</v>
      </c>
      <c r="H94" s="74">
        <v>2</v>
      </c>
      <c r="I94" s="74">
        <v>56</v>
      </c>
      <c r="J94" s="74">
        <v>2</v>
      </c>
      <c r="K94" s="74">
        <v>190</v>
      </c>
      <c r="L94" s="71"/>
      <c r="M94" s="71"/>
      <c r="N94" s="71"/>
      <c r="O94" s="71"/>
      <c r="P94" s="71"/>
      <c r="Q94" s="70"/>
      <c r="R94" s="70"/>
      <c r="S94" s="70"/>
      <c r="T94" s="70"/>
    </row>
    <row customHeight="true" ht="16.296296296296294" r="95">
      <c r="A95" s="70"/>
      <c r="B95" s="71"/>
      <c r="C95" s="80" t="s">
        <v>214</v>
      </c>
      <c r="D95" s="80" t="s">
        <v>280</v>
      </c>
      <c r="E95" s="80"/>
      <c r="F95" s="80"/>
      <c r="G95" s="80"/>
      <c r="H95" s="80"/>
      <c r="I95" s="80"/>
      <c r="J95" s="80"/>
      <c r="K95" s="80"/>
      <c r="L95" s="71"/>
      <c r="M95" s="71"/>
      <c r="N95" s="71"/>
      <c r="O95" s="71"/>
      <c r="P95" s="71"/>
      <c r="Q95" s="70"/>
      <c r="R95" s="70"/>
      <c r="S95" s="70"/>
      <c r="T95" s="70"/>
    </row>
    <row customHeight="true" ht="16.296296296296294" r="96">
      <c r="A96" s="70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0"/>
      <c r="R96" s="70"/>
      <c r="S96" s="70"/>
      <c r="T96" s="70"/>
    </row>
    <row customHeight="true" ht="16.296296296296294" r="97">
      <c r="A97" s="70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0"/>
      <c r="R97" s="70"/>
      <c r="S97" s="70"/>
      <c r="T97" s="70"/>
    </row>
    <row customHeight="true" ht="16.296296296296294" r="98">
      <c r="A98" s="70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0"/>
      <c r="R98" s="70"/>
      <c r="S98" s="70"/>
      <c r="T98" s="70"/>
    </row>
    <row customHeight="true" ht="16.296296296296294" r="99">
      <c r="A99" s="70"/>
      <c r="B99" s="71"/>
      <c r="C99" s="71"/>
      <c r="D99" s="71"/>
      <c r="E99" s="72" t="s">
        <v>281</v>
      </c>
      <c r="F99" s="72"/>
      <c r="G99" s="72"/>
      <c r="H99" s="73" t="s">
        <v>187</v>
      </c>
      <c r="I99" s="73"/>
      <c r="J99" s="71"/>
      <c r="K99" s="71"/>
      <c r="L99" s="71"/>
      <c r="M99" s="71"/>
      <c r="N99" s="71"/>
      <c r="O99" s="71"/>
      <c r="P99" s="71"/>
      <c r="Q99" s="70"/>
      <c r="R99" s="70"/>
      <c r="S99" s="70"/>
      <c r="T99" s="70"/>
    </row>
    <row customHeight="true" ht="16.296296296296294" r="100">
      <c r="A100" s="70"/>
      <c r="B100" s="71"/>
      <c r="C100" s="71"/>
      <c r="D100" s="71"/>
      <c r="E100" s="74" t="s">
        <v>188</v>
      </c>
      <c r="F100" s="74"/>
      <c r="G100" s="74" t="s">
        <v>189</v>
      </c>
      <c r="H100" s="73" t="s">
        <v>190</v>
      </c>
      <c r="I100" s="73"/>
      <c r="J100" s="71"/>
      <c r="K100" s="71"/>
      <c r="L100" s="71"/>
      <c r="M100" s="71"/>
      <c r="N100" s="71"/>
      <c r="O100" s="71"/>
      <c r="P100" s="71"/>
      <c r="Q100" s="70"/>
      <c r="R100" s="70"/>
      <c r="S100" s="70"/>
      <c r="T100" s="70"/>
    </row>
    <row customHeight="true" ht="34.81481481481481" r="101">
      <c r="A101" s="70"/>
      <c r="B101" s="71"/>
      <c r="C101" s="71"/>
      <c r="D101" s="71"/>
      <c r="E101" s="75" t="s">
        <v>191</v>
      </c>
      <c r="F101" s="75"/>
      <c r="G101" s="76">
        <v>1</v>
      </c>
      <c r="H101" s="73" t="s">
        <v>192</v>
      </c>
      <c r="I101" s="73"/>
      <c r="J101" s="71"/>
      <c r="K101" s="71"/>
      <c r="L101" s="71"/>
      <c r="M101" s="71"/>
      <c r="N101" s="71"/>
      <c r="O101" s="71"/>
      <c r="P101" s="71"/>
      <c r="Q101" s="70"/>
      <c r="R101" s="70"/>
      <c r="S101" s="70"/>
      <c r="T101" s="70"/>
    </row>
    <row customHeight="true" ht="32.59259259259259" r="102">
      <c r="A102" s="70"/>
      <c r="B102" s="71"/>
      <c r="C102" s="71"/>
      <c r="D102" s="71"/>
      <c r="E102" s="75" t="s">
        <v>281</v>
      </c>
      <c r="F102" s="75"/>
      <c r="G102" s="76">
        <v>10</v>
      </c>
      <c r="H102" s="71"/>
      <c r="I102" s="71"/>
      <c r="J102" s="71"/>
      <c r="K102" s="71"/>
      <c r="L102" s="71"/>
      <c r="M102" s="71"/>
      <c r="N102" s="71"/>
      <c r="O102" s="71"/>
      <c r="P102" s="71"/>
      <c r="Q102" s="70"/>
      <c r="R102" s="70"/>
      <c r="S102" s="70"/>
      <c r="T102" s="70"/>
    </row>
    <row customHeight="true" ht="16.296296296296294" r="103">
      <c r="A103" s="70"/>
      <c r="B103" s="71"/>
      <c r="C103" s="72" t="s">
        <v>282</v>
      </c>
      <c r="D103" s="72"/>
      <c r="E103" s="72"/>
      <c r="F103" s="72"/>
      <c r="G103" s="72"/>
      <c r="H103" s="72"/>
      <c r="I103" s="72"/>
      <c r="J103" s="71"/>
      <c r="K103" s="71"/>
      <c r="L103" s="71"/>
      <c r="M103" s="71"/>
      <c r="N103" s="71"/>
      <c r="O103" s="71"/>
      <c r="P103" s="71"/>
      <c r="Q103" s="70"/>
      <c r="R103" s="70"/>
      <c r="S103" s="70"/>
      <c r="T103" s="70"/>
    </row>
    <row customHeight="true" ht="16.296296296296294" r="104">
      <c r="A104" s="70"/>
      <c r="B104" s="71"/>
      <c r="C104" s="77" t="s">
        <v>199</v>
      </c>
      <c r="D104" s="78" t="s">
        <v>200</v>
      </c>
      <c r="E104" s="78"/>
      <c r="F104" s="74" t="s">
        <v>191</v>
      </c>
      <c r="G104" s="74" t="s">
        <v>217</v>
      </c>
      <c r="H104" s="74" t="s">
        <v>202</v>
      </c>
      <c r="I104" s="74" t="s">
        <v>205</v>
      </c>
      <c r="J104" s="71"/>
      <c r="K104" s="71"/>
      <c r="L104" s="71"/>
      <c r="M104" s="71"/>
      <c r="N104" s="71"/>
      <c r="O104" s="71"/>
      <c r="P104" s="71"/>
      <c r="Q104" s="70"/>
      <c r="R104" s="70"/>
      <c r="S104" s="70"/>
      <c r="T104" s="70"/>
    </row>
    <row customHeight="true" ht="46.666666666666664" r="105">
      <c r="A105" s="70"/>
      <c r="B105" s="71"/>
      <c r="C105" s="77" t="s">
        <v>199</v>
      </c>
      <c r="D105" s="74" t="s">
        <v>206</v>
      </c>
      <c r="E105" s="74" t="s">
        <v>206</v>
      </c>
      <c r="F105" s="79" t="s">
        <v>218</v>
      </c>
      <c r="G105" s="79" t="s">
        <v>220</v>
      </c>
      <c r="H105" s="74" t="s">
        <v>269</v>
      </c>
      <c r="I105" s="74" t="s">
        <v>283</v>
      </c>
      <c r="J105" s="71"/>
      <c r="K105" s="71"/>
      <c r="L105" s="71"/>
      <c r="M105" s="71"/>
      <c r="N105" s="71"/>
      <c r="O105" s="71"/>
      <c r="P105" s="71"/>
      <c r="Q105" s="70"/>
      <c r="R105" s="70"/>
      <c r="S105" s="70"/>
      <c r="T105" s="70"/>
    </row>
    <row r="106">
      <c r="A106" s="70"/>
      <c r="B106" s="71"/>
      <c r="C106" s="74" t="s">
        <v>213</v>
      </c>
      <c r="D106" s="74">
        <v>255</v>
      </c>
      <c r="E106" s="74">
        <v>255</v>
      </c>
      <c r="F106" s="74">
        <v>1</v>
      </c>
      <c r="G106" s="74">
        <v>2</v>
      </c>
      <c r="H106" s="74">
        <v>10</v>
      </c>
      <c r="I106" s="74">
        <v>242</v>
      </c>
      <c r="J106" s="71"/>
      <c r="K106" s="71"/>
      <c r="L106" s="71"/>
      <c r="M106" s="71"/>
      <c r="N106" s="71"/>
      <c r="O106" s="71"/>
      <c r="P106" s="71"/>
      <c r="Q106" s="70"/>
      <c r="R106" s="70"/>
      <c r="S106" s="70"/>
      <c r="T106" s="70"/>
    </row>
    <row r="107">
      <c r="A107" s="70"/>
      <c r="B107" s="71"/>
      <c r="C107" s="80" t="s">
        <v>214</v>
      </c>
      <c r="D107" s="80" t="s">
        <v>284</v>
      </c>
      <c r="E107" s="80"/>
      <c r="F107" s="80"/>
      <c r="G107" s="80"/>
      <c r="H107" s="80"/>
      <c r="I107" s="80"/>
      <c r="J107" s="71"/>
      <c r="K107" s="71"/>
      <c r="L107" s="71"/>
      <c r="M107" s="71"/>
      <c r="N107" s="71"/>
      <c r="O107" s="71"/>
      <c r="P107" s="71"/>
      <c r="Q107" s="70"/>
      <c r="R107" s="70"/>
      <c r="S107" s="70"/>
      <c r="T107" s="70"/>
    </row>
    <row r="108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</row>
  </sheetData>
  <mergeCells>
    <mergeCell ref="D104:E104"/>
    <mergeCell ref="C103:I103"/>
    <mergeCell ref="E102:F102"/>
    <mergeCell ref="E101:F101"/>
    <mergeCell ref="E100:F100"/>
    <mergeCell ref="H99:I99"/>
    <mergeCell ref="E99:G99"/>
    <mergeCell ref="D92:E92"/>
    <mergeCell ref="C91:K91"/>
    <mergeCell ref="E90:F90"/>
    <mergeCell ref="E89:F89"/>
    <mergeCell ref="E88:F88"/>
    <mergeCell ref="H87:I87"/>
    <mergeCell ref="E87:F87"/>
    <mergeCell ref="H86:I86"/>
    <mergeCell ref="E86:F86"/>
    <mergeCell ref="H85:I85"/>
    <mergeCell ref="E85:G85"/>
    <mergeCell ref="D77:E77"/>
    <mergeCell ref="M76:N76"/>
    <mergeCell ref="E74:F74"/>
    <mergeCell ref="E73:F73"/>
    <mergeCell ref="E72:F72"/>
    <mergeCell ref="E71:F71"/>
    <mergeCell ref="E70:F70"/>
    <mergeCell ref="E69:F69"/>
    <mergeCell ref="E68:F68"/>
    <mergeCell ref="H67:I67"/>
    <mergeCell ref="D64:P64"/>
    <mergeCell ref="D61:E61"/>
    <mergeCell ref="H58:I58"/>
    <mergeCell ref="E58:F58"/>
    <mergeCell ref="H57:I57"/>
    <mergeCell ref="E57:F57"/>
    <mergeCell ref="H56:I56"/>
    <mergeCell ref="E56:F56"/>
    <mergeCell ref="E55:F55"/>
    <mergeCell ref="H54:I54"/>
    <mergeCell ref="E54:F54"/>
    <mergeCell ref="H53:I53"/>
    <mergeCell ref="E53:F53"/>
    <mergeCell ref="H52:I52"/>
    <mergeCell ref="D46:E46"/>
    <mergeCell ref="C45:K45"/>
    <mergeCell ref="E44:F44"/>
    <mergeCell ref="E43:F43"/>
    <mergeCell ref="E42:F42"/>
    <mergeCell ref="H41:I41"/>
    <mergeCell ref="E41:F41"/>
    <mergeCell ref="H40:I40"/>
    <mergeCell ref="E40:F40"/>
    <mergeCell ref="H39:I39"/>
    <mergeCell ref="E39:G39"/>
    <mergeCell ref="D32:E32"/>
    <mergeCell ref="C31:K31"/>
    <mergeCell ref="E30:F30"/>
    <mergeCell ref="E29:F29"/>
    <mergeCell ref="E28:F28"/>
    <mergeCell ref="E27:F27"/>
    <mergeCell ref="E26:F26"/>
    <mergeCell ref="H25:I25"/>
    <mergeCell ref="E25:G25"/>
    <mergeCell ref="D20:E20"/>
    <mergeCell ref="C19:K19"/>
    <mergeCell ref="E18:F18"/>
    <mergeCell ref="E17:F17"/>
    <mergeCell ref="E16:F16"/>
    <mergeCell ref="E15:F15"/>
    <mergeCell ref="E14:F14"/>
    <mergeCell ref="H13:I13"/>
    <mergeCell ref="E13:G13"/>
    <mergeCell ref="D8:E8"/>
    <mergeCell ref="C7:K7"/>
    <mergeCell ref="E6:F6"/>
    <mergeCell ref="E5:F5"/>
    <mergeCell ref="E4:F4"/>
    <mergeCell ref="E3:F3"/>
    <mergeCell ref="E2:F2"/>
    <mergeCell ref="H1:I1"/>
    <mergeCell ref="E1:G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